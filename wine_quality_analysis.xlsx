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BDB552B1-03A9-4B4A-BDB5-840338512C67}" xr6:coauthVersionLast="47" xr6:coauthVersionMax="47" xr10:uidLastSave="{00000000-0000-0000-0000-000000000000}"/>
  <bookViews>
    <workbookView xWindow="-110" yWindow="-110" windowWidth="19420" windowHeight="10300" activeTab="1"/>
  </bookViews>
  <sheets>
    <sheet name="Analysis" sheetId="2" r:id="rId1"/>
    <sheet name="Findings" sheetId="3" r:id="rId2"/>
    <sheet name="winequality-red" sheetId="1" r:id="rId3"/>
  </sheets>
  <calcPr calcId="0"/>
  <pivotCaches>
    <pivotCache cacheId="2" r:id="rId4"/>
  </pivotCaches>
</workbook>
</file>

<file path=xl/calcChain.xml><?xml version="1.0" encoding="utf-8"?>
<calcChain xmlns="http://schemas.openxmlformats.org/spreadsheetml/2006/main">
  <c r="P3" i="1" l="1"/>
  <c r="Q3" i="1"/>
  <c r="P4" i="1"/>
  <c r="Q4" i="1"/>
  <c r="Q2" i="1"/>
  <c r="P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2" i="1"/>
</calcChain>
</file>

<file path=xl/sharedStrings.xml><?xml version="1.0" encoding="utf-8"?>
<sst xmlns="http://schemas.openxmlformats.org/spreadsheetml/2006/main" count="36" uniqueCount="33">
  <si>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</si>
  <si>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</si>
  <si>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</si>
  <si>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</si>
  <si>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</si>
  <si>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</si>
  <si>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</si>
  <si>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</si>
  <si>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</si>
  <si>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</si>
  <si>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</si>
  <si>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</si>
  <si>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Quality Group</t>
  </si>
  <si>
    <t>Group</t>
  </si>
  <si>
    <t>Samples</t>
  </si>
  <si>
    <t>Avg Alcohol</t>
  </si>
  <si>
    <t>High</t>
  </si>
  <si>
    <t>Medium</t>
  </si>
  <si>
    <t>Low</t>
  </si>
  <si>
    <t>Row Labels</t>
  </si>
  <si>
    <t>Grand Total</t>
  </si>
  <si>
    <t>Count of Quality Group</t>
  </si>
  <si>
    <t>Average of alcohol</t>
  </si>
  <si>
    <t>Average of sulphates</t>
  </si>
  <si>
    <t>Average of volatile acidity</t>
  </si>
  <si>
    <t xml:space="preserve"> Wine Quality Analysis: Key Findings</t>
  </si>
  <si>
    <t>1. Dataset: 1,599 red wine samples with lab measurements and a quality score.</t>
  </si>
  <si>
    <t>2. Groups: High (quality 7 or more), Medium (5 to 6), Low (below 5).</t>
  </si>
  <si>
    <t>3. Most samples are Medium (1,319, about 82%). High has 217 (about 14%) and Low has 63 (about 4%).</t>
  </si>
  <si>
    <t>4. High-quality wines have the highest average alcohol (11.5%), against about 10.2% for Low and Medium.</t>
  </si>
  <si>
    <t>5. High-quality wines have the lowest volatile acidity (about 0.4), against about 0.7 for Low-quality wines.</t>
  </si>
  <si>
    <t>6. High-quality wines have slightly higher sulphates (about 0.7) than Low and Medium (about 0.6).</t>
  </si>
  <si>
    <t>7. Conclusion: higher alcohol and lower volatile acidity go with better wine quality.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</si>
</sst>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16" fillId="0" borderId="0" xfId="0" applyFont="1"/>
    <xf numFmtId="0" fontId="18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Number of Samples by Quality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'winequality-red'!$O$2:$O$4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'winequality-red'!$P$2:$P$4</c:f>
              <c:numCache>
                <c:formatCode>General</c:formatCode>
                <c:ptCount val="3"/>
                <c:pt idx="0">
                  <c:v>217</c:v>
                </c:pt>
                <c:pt idx="1">
                  <c:v>1319</c:v>
                </c:pt>
                <c:pt idx="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F-44C7-8452-A6638208B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4644080"/>
        <c:axId val="1744643664"/>
      </c:barChart>
      <c:catAx>
        <c:axId val="174464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643664"/>
        <c:crosses val="autoZero"/>
        <c:auto val="1"/>
        <c:lblAlgn val="ctr"/>
        <c:lblOffset val="100"/>
        <c:noMultiLvlLbl val="0"/>
      </c:catAx>
      <c:valAx>
        <c:axId val="174464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64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Alcohol by Quality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775371828521432E-2"/>
          <c:y val="0.19486111111111112"/>
          <c:w val="0.8838912948381452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'winequality-red'!$Q$1</c:f>
              <c:strCache>
                <c:ptCount val="1"/>
                <c:pt idx="0">
                  <c:v>Avg Alcohol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'winequality-red'!$O$2:$O$4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'winequality-red'!$Q$2:$Q$4</c:f>
              <c:numCache>
                <c:formatCode>General</c:formatCode>
                <c:ptCount val="3"/>
                <c:pt idx="0">
                  <c:v>11.518049155145922</c:v>
                </c:pt>
                <c:pt idx="1">
                  <c:v>10.252716704574146</c:v>
                </c:pt>
                <c:pt idx="2">
                  <c:v>10.215873015873015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4-4EFA-BC43-7E35DBBD8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8433184"/>
        <c:axId val="1488432352"/>
      </c:barChart>
      <c:catAx>
        <c:axId val="148843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432352"/>
        <c:crosses val="autoZero"/>
        <c:auto val="1"/>
        <c:lblAlgn val="ctr"/>
        <c:lblOffset val="100"/>
        <c:noMultiLvlLbl val="0"/>
      </c:catAx>
      <c:valAx>
        <c:axId val="148843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43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9</xdr:row>
      <xdr:rowOff>88900</xdr:rowOff>
    </xdr:from>
    <xdr:to>
      <xdr:col>0</xdr:col>
      <xdr:colOff>5078460</xdr:colOff>
      <xdr:row>24</xdr:row>
      <xdr:rowOff>50993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DCCAD4-8205-49A5-901F-6787BD232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133350</xdr:colOff>
      <xdr:row>27</xdr:row>
      <xdr:rowOff>0</xdr:rowOff>
    </xdr:from>
    <xdr:to>
      <xdr:col>0</xdr:col>
      <xdr:colOff>5072110</xdr:colOff>
      <xdr:row>41</xdr:row>
      <xdr:rowOff>144895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11BA35-FE86-4162-B6D8-34552D332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319.12719525463" createdVersion="7" refreshedVersion="7" minRefreshableVersion="3" recordCount="1599">
  <cacheSource type="worksheet">
    <worksheetSource ref="A1:M1600" sheet="winequality-red"/>
  </cacheSource>
  <cacheFields count="13">
    <cacheField name="fixed acidity" numFmtId="0">
      <sharedItems containsSemiMixedTypes="0" containsString="0" containsNumber="1" minValue="4.5999999999999996" maxValue="15.9"/>
    </cacheField>
    <cacheField name="volatile acidity" numFmtId="0">
      <sharedItems containsSemiMixedTypes="0" containsString="0" containsNumber="1" minValue="0.12" maxValue="1.58"/>
    </cacheField>
    <cacheField name="citric acid" numFmtId="0">
      <sharedItems containsSemiMixedTypes="0" containsString="0" containsNumber="1" minValue="0" maxValue="1"/>
    </cacheField>
    <cacheField name="residual sugar" numFmtId="0">
      <sharedItems containsSemiMixedTypes="0" containsString="0" containsNumber="1" minValue="0.9" maxValue="15.5"/>
    </cacheField>
    <cacheField name="chlorides" numFmtId="0">
      <sharedItems containsSemiMixedTypes="0" containsString="0" containsNumber="1" minValue="1.2E-2" maxValue="0.61099999999999999"/>
    </cacheField>
    <cacheField name="free sulfur dioxide" numFmtId="0">
      <sharedItems containsSemiMixedTypes="0" containsString="0" containsNumber="1" minValue="1" maxValue="72"/>
    </cacheField>
    <cacheField name="total sulfur dioxide" numFmtId="0">
      <sharedItems containsSemiMixedTypes="0" containsString="0" containsNumber="1" minValue="6" maxValue="289"/>
    </cacheField>
    <cacheField name="density" numFmtId="0">
      <sharedItems containsSemiMixedTypes="0" containsString="0" containsNumber="1" minValue="0.99007000000000001" maxValue="1.00369"/>
    </cacheField>
    <cacheField name="pH" numFmtId="0">
      <sharedItems containsSemiMixedTypes="0" containsString="0" containsNumber="1" minValue="2.74" maxValue="4.01"/>
    </cacheField>
    <cacheField name="sulphates" numFmtId="0">
      <sharedItems containsSemiMixedTypes="0" containsString="0" containsNumber="1" minValue="0.33" maxValue="2"/>
    </cacheField>
    <cacheField name="alcohol" numFmtId="0">
      <sharedItems containsSemiMixedTypes="0" containsString="0" containsNumber="1" minValue="8.4" maxValue="14.9"/>
    </cacheField>
    <cacheField name="quality" numFmtId="0">
      <sharedItems containsSemiMixedTypes="0" containsString="0" containsNumber="1" containsInteger="1" minValue="3" maxValue="8"/>
    </cacheField>
    <cacheField name="Quality Group" numFmtId="0">
      <sharedItems count="3">
        <s v="Medium"/>
        <s v="High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99">
  <r>
    <n v="7.4"/>
    <n v="0.7"/>
    <n v="0"/>
    <n v="1.9"/>
    <n v="7.5999999999999998E-2"/>
    <n v="11"/>
    <n v="34"/>
    <n v="0.99780000000000002"/>
    <n v="3.51"/>
    <n v="0.56000000000000005"/>
    <n v="9.4"/>
    <n v="5"/>
    <x v="0"/>
  </r>
  <r>
    <n v="7.8"/>
    <n v="0.88"/>
    <n v="0"/>
    <n v="2.6"/>
    <n v="9.8000000000000004E-2"/>
    <n v="25"/>
    <n v="67"/>
    <n v="0.99680000000000002"/>
    <n v="3.2"/>
    <n v="0.68"/>
    <n v="9.8000000000000007"/>
    <n v="5"/>
    <x v="0"/>
  </r>
  <r>
    <n v="7.8"/>
    <n v="0.76"/>
    <n v="0.04"/>
    <n v="2.2999999999999998"/>
    <n v="9.1999999999999998E-2"/>
    <n v="15"/>
    <n v="54"/>
    <n v="0.997"/>
    <n v="3.26"/>
    <n v="0.65"/>
    <n v="9.8000000000000007"/>
    <n v="5"/>
    <x v="0"/>
  </r>
  <r>
    <n v="11.2"/>
    <n v="0.28000000000000003"/>
    <n v="0.56000000000000005"/>
    <n v="1.9"/>
    <n v="7.4999999999999997E-2"/>
    <n v="17"/>
    <n v="60"/>
    <n v="0.998"/>
    <n v="3.16"/>
    <n v="0.57999999999999996"/>
    <n v="9.8000000000000007"/>
    <n v="6"/>
    <x v="0"/>
  </r>
  <r>
    <n v="7.4"/>
    <n v="0.7"/>
    <n v="0"/>
    <n v="1.9"/>
    <n v="7.5999999999999998E-2"/>
    <n v="11"/>
    <n v="34"/>
    <n v="0.99780000000000002"/>
    <n v="3.51"/>
    <n v="0.56000000000000005"/>
    <n v="9.4"/>
    <n v="5"/>
    <x v="0"/>
  </r>
  <r>
    <n v="7.4"/>
    <n v="0.66"/>
    <n v="0"/>
    <n v="1.8"/>
    <n v="7.4999999999999997E-2"/>
    <n v="13"/>
    <n v="40"/>
    <n v="0.99780000000000002"/>
    <n v="3.51"/>
    <n v="0.56000000000000005"/>
    <n v="9.4"/>
    <n v="5"/>
    <x v="0"/>
  </r>
  <r>
    <n v="7.9"/>
    <n v="0.6"/>
    <n v="0.06"/>
    <n v="1.6"/>
    <n v="6.9000000000000006E-2"/>
    <n v="15"/>
    <n v="59"/>
    <n v="0.99639999999999995"/>
    <n v="3.3"/>
    <n v="0.46"/>
    <n v="9.4"/>
    <n v="5"/>
    <x v="0"/>
  </r>
  <r>
    <n v="7.3"/>
    <n v="0.65"/>
    <n v="0"/>
    <n v="1.2"/>
    <n v="6.5000000000000002E-2"/>
    <n v="15"/>
    <n v="21"/>
    <n v="0.99460000000000004"/>
    <n v="3.39"/>
    <n v="0.47"/>
    <n v="10"/>
    <n v="7"/>
    <x v="1"/>
  </r>
  <r>
    <n v="7.8"/>
    <n v="0.57999999999999996"/>
    <n v="0.02"/>
    <n v="2"/>
    <n v="7.2999999999999995E-2"/>
    <n v="9"/>
    <n v="18"/>
    <n v="0.99680000000000002"/>
    <n v="3.36"/>
    <n v="0.56999999999999995"/>
    <n v="9.5"/>
    <n v="7"/>
    <x v="1"/>
  </r>
  <r>
    <n v="7.5"/>
    <n v="0.5"/>
    <n v="0.36"/>
    <n v="6.1"/>
    <n v="7.0999999999999994E-2"/>
    <n v="17"/>
    <n v="102"/>
    <n v="0.99780000000000002"/>
    <n v="3.35"/>
    <n v="0.8"/>
    <n v="10.5"/>
    <n v="5"/>
    <x v="0"/>
  </r>
  <r>
    <n v="6.7"/>
    <n v="0.57999999999999996"/>
    <n v="0.08"/>
    <n v="1.8"/>
    <n v="9.7000000000000003E-2"/>
    <n v="15"/>
    <n v="65"/>
    <n v="0.99590000000000001"/>
    <n v="3.28"/>
    <n v="0.54"/>
    <n v="9.1999999999999993"/>
    <n v="5"/>
    <x v="0"/>
  </r>
  <r>
    <n v="7.5"/>
    <n v="0.5"/>
    <n v="0.36"/>
    <n v="6.1"/>
    <n v="7.0999999999999994E-2"/>
    <n v="17"/>
    <n v="102"/>
    <n v="0.99780000000000002"/>
    <n v="3.35"/>
    <n v="0.8"/>
    <n v="10.5"/>
    <n v="5"/>
    <x v="0"/>
  </r>
  <r>
    <n v="5.6"/>
    <n v="0.61499999999999999"/>
    <n v="0"/>
    <n v="1.6"/>
    <n v="8.8999999999999996E-2"/>
    <n v="16"/>
    <n v="59"/>
    <n v="0.99429999999999996"/>
    <n v="3.58"/>
    <n v="0.52"/>
    <n v="9.9"/>
    <n v="5"/>
    <x v="0"/>
  </r>
  <r>
    <n v="7.8"/>
    <n v="0.61"/>
    <n v="0.28999999999999998"/>
    <n v="1.6"/>
    <n v="0.114"/>
    <n v="9"/>
    <n v="29"/>
    <n v="0.99739999999999995"/>
    <n v="3.26"/>
    <n v="1.56"/>
    <n v="9.1"/>
    <n v="5"/>
    <x v="0"/>
  </r>
  <r>
    <n v="8.9"/>
    <n v="0.62"/>
    <n v="0.18"/>
    <n v="3.8"/>
    <n v="0.17599999999999999"/>
    <n v="52"/>
    <n v="145"/>
    <n v="0.99860000000000004"/>
    <n v="3.16"/>
    <n v="0.88"/>
    <n v="9.1999999999999993"/>
    <n v="5"/>
    <x v="0"/>
  </r>
  <r>
    <n v="8.9"/>
    <n v="0.62"/>
    <n v="0.19"/>
    <n v="3.9"/>
    <n v="0.17"/>
    <n v="51"/>
    <n v="148"/>
    <n v="0.99860000000000004"/>
    <n v="3.17"/>
    <n v="0.93"/>
    <n v="9.1999999999999993"/>
    <n v="5"/>
    <x v="0"/>
  </r>
  <r>
    <n v="8.5"/>
    <n v="0.28000000000000003"/>
    <n v="0.56000000000000005"/>
    <n v="1.8"/>
    <n v="9.1999999999999998E-2"/>
    <n v="35"/>
    <n v="103"/>
    <n v="0.99690000000000001"/>
    <n v="3.3"/>
    <n v="0.75"/>
    <n v="10.5"/>
    <n v="7"/>
    <x v="1"/>
  </r>
  <r>
    <n v="8.1"/>
    <n v="0.56000000000000005"/>
    <n v="0.28000000000000003"/>
    <n v="1.7"/>
    <n v="0.36799999999999999"/>
    <n v="16"/>
    <n v="56"/>
    <n v="0.99680000000000002"/>
    <n v="3.11"/>
    <n v="1.28"/>
    <n v="9.3000000000000007"/>
    <n v="5"/>
    <x v="0"/>
  </r>
  <r>
    <n v="7.4"/>
    <n v="0.59"/>
    <n v="0.08"/>
    <n v="4.4000000000000004"/>
    <n v="8.5999999999999993E-2"/>
    <n v="6"/>
    <n v="29"/>
    <n v="0.99739999999999995"/>
    <n v="3.38"/>
    <n v="0.5"/>
    <n v="9"/>
    <n v="4"/>
    <x v="2"/>
  </r>
  <r>
    <n v="7.9"/>
    <n v="0.32"/>
    <n v="0.51"/>
    <n v="1.8"/>
    <n v="0.34100000000000003"/>
    <n v="17"/>
    <n v="56"/>
    <n v="0.99690000000000001"/>
    <n v="3.04"/>
    <n v="1.08"/>
    <n v="9.1999999999999993"/>
    <n v="6"/>
    <x v="0"/>
  </r>
  <r>
    <n v="8.9"/>
    <n v="0.22"/>
    <n v="0.48"/>
    <n v="1.8"/>
    <n v="7.6999999999999999E-2"/>
    <n v="29"/>
    <n v="60"/>
    <n v="0.99680000000000002"/>
    <n v="3.39"/>
    <n v="0.53"/>
    <n v="9.4"/>
    <n v="6"/>
    <x v="0"/>
  </r>
  <r>
    <n v="7.6"/>
    <n v="0.39"/>
    <n v="0.31"/>
    <n v="2.2999999999999998"/>
    <n v="8.2000000000000003E-2"/>
    <n v="23"/>
    <n v="71"/>
    <n v="0.99819999999999998"/>
    <n v="3.52"/>
    <n v="0.65"/>
    <n v="9.6999999999999993"/>
    <n v="5"/>
    <x v="0"/>
  </r>
  <r>
    <n v="7.9"/>
    <n v="0.43"/>
    <n v="0.21"/>
    <n v="1.6"/>
    <n v="0.106"/>
    <n v="10"/>
    <n v="37"/>
    <n v="0.99660000000000004"/>
    <n v="3.17"/>
    <n v="0.91"/>
    <n v="9.5"/>
    <n v="5"/>
    <x v="0"/>
  </r>
  <r>
    <n v="8.5"/>
    <n v="0.49"/>
    <n v="0.11"/>
    <n v="2.2999999999999998"/>
    <n v="8.4000000000000005E-2"/>
    <n v="9"/>
    <n v="67"/>
    <n v="0.99680000000000002"/>
    <n v="3.17"/>
    <n v="0.53"/>
    <n v="9.4"/>
    <n v="5"/>
    <x v="0"/>
  </r>
  <r>
    <n v="6.9"/>
    <n v="0.4"/>
    <n v="0.14000000000000001"/>
    <n v="2.4"/>
    <n v="8.5000000000000006E-2"/>
    <n v="21"/>
    <n v="40"/>
    <n v="0.99680000000000002"/>
    <n v="3.43"/>
    <n v="0.63"/>
    <n v="9.6999999999999993"/>
    <n v="6"/>
    <x v="0"/>
  </r>
  <r>
    <n v="6.3"/>
    <n v="0.39"/>
    <n v="0.16"/>
    <n v="1.4"/>
    <n v="0.08"/>
    <n v="11"/>
    <n v="23"/>
    <n v="0.99550000000000005"/>
    <n v="3.34"/>
    <n v="0.56000000000000005"/>
    <n v="9.3000000000000007"/>
    <n v="5"/>
    <x v="0"/>
  </r>
  <r>
    <n v="7.6"/>
    <n v="0.41"/>
    <n v="0.24"/>
    <n v="1.8"/>
    <n v="0.08"/>
    <n v="4"/>
    <n v="11"/>
    <n v="0.99619999999999997"/>
    <n v="3.28"/>
    <n v="0.59"/>
    <n v="9.5"/>
    <n v="5"/>
    <x v="0"/>
  </r>
  <r>
    <n v="7.9"/>
    <n v="0.43"/>
    <n v="0.21"/>
    <n v="1.6"/>
    <n v="0.106"/>
    <n v="10"/>
    <n v="37"/>
    <n v="0.99660000000000004"/>
    <n v="3.17"/>
    <n v="0.91"/>
    <n v="9.5"/>
    <n v="5"/>
    <x v="0"/>
  </r>
  <r>
    <n v="7.1"/>
    <n v="0.71"/>
    <n v="0"/>
    <n v="1.9"/>
    <n v="0.08"/>
    <n v="14"/>
    <n v="35"/>
    <n v="0.99719999999999998"/>
    <n v="3.47"/>
    <n v="0.55000000000000004"/>
    <n v="9.4"/>
    <n v="5"/>
    <x v="0"/>
  </r>
  <r>
    <n v="7.8"/>
    <n v="0.64500000000000002"/>
    <n v="0"/>
    <n v="2"/>
    <n v="8.2000000000000003E-2"/>
    <n v="8"/>
    <n v="16"/>
    <n v="0.99639999999999995"/>
    <n v="3.38"/>
    <n v="0.59"/>
    <n v="9.8000000000000007"/>
    <n v="6"/>
    <x v="0"/>
  </r>
  <r>
    <n v="6.7"/>
    <n v="0.67500000000000004"/>
    <n v="7.0000000000000007E-2"/>
    <n v="2.4"/>
    <n v="8.8999999999999996E-2"/>
    <n v="17"/>
    <n v="82"/>
    <n v="0.99580000000000002"/>
    <n v="3.35"/>
    <n v="0.54"/>
    <n v="10.1"/>
    <n v="5"/>
    <x v="0"/>
  </r>
  <r>
    <n v="6.9"/>
    <n v="0.68500000000000005"/>
    <n v="0"/>
    <n v="2.5"/>
    <n v="0.105"/>
    <n v="22"/>
    <n v="37"/>
    <n v="0.99660000000000004"/>
    <n v="3.46"/>
    <n v="0.56999999999999995"/>
    <n v="10.6"/>
    <n v="6"/>
    <x v="0"/>
  </r>
  <r>
    <n v="8.3000000000000007"/>
    <n v="0.65500000000000003"/>
    <n v="0.12"/>
    <n v="2.2999999999999998"/>
    <n v="8.3000000000000004E-2"/>
    <n v="15"/>
    <n v="113"/>
    <n v="0.99660000000000004"/>
    <n v="3.17"/>
    <n v="0.66"/>
    <n v="9.8000000000000007"/>
    <n v="5"/>
    <x v="0"/>
  </r>
  <r>
    <n v="6.9"/>
    <n v="0.60499999999999998"/>
    <n v="0.12"/>
    <n v="10.7"/>
    <n v="7.2999999999999995E-2"/>
    <n v="40"/>
    <n v="83"/>
    <n v="0.99929999999999997"/>
    <n v="3.45"/>
    <n v="0.52"/>
    <n v="9.4"/>
    <n v="6"/>
    <x v="0"/>
  </r>
  <r>
    <n v="5.2"/>
    <n v="0.32"/>
    <n v="0.25"/>
    <n v="1.8"/>
    <n v="0.10299999999999999"/>
    <n v="13"/>
    <n v="50"/>
    <n v="0.99570000000000003"/>
    <n v="3.38"/>
    <n v="0.55000000000000004"/>
    <n v="9.1999999999999993"/>
    <n v="5"/>
    <x v="0"/>
  </r>
  <r>
    <n v="7.8"/>
    <n v="0.64500000000000002"/>
    <n v="0"/>
    <n v="5.5"/>
    <n v="8.5999999999999993E-2"/>
    <n v="5"/>
    <n v="18"/>
    <n v="0.99860000000000004"/>
    <n v="3.4"/>
    <n v="0.55000000000000004"/>
    <n v="9.6"/>
    <n v="6"/>
    <x v="0"/>
  </r>
  <r>
    <n v="7.8"/>
    <n v="0.6"/>
    <n v="0.14000000000000001"/>
    <n v="2.4"/>
    <n v="8.5999999999999993E-2"/>
    <n v="3"/>
    <n v="15"/>
    <n v="0.99750000000000005"/>
    <n v="3.42"/>
    <n v="0.6"/>
    <n v="10.8"/>
    <n v="6"/>
    <x v="0"/>
  </r>
  <r>
    <n v="8.1"/>
    <n v="0.38"/>
    <n v="0.28000000000000003"/>
    <n v="2.1"/>
    <n v="6.6000000000000003E-2"/>
    <n v="13"/>
    <n v="30"/>
    <n v="0.99680000000000002"/>
    <n v="3.23"/>
    <n v="0.73"/>
    <n v="9.6999999999999993"/>
    <n v="7"/>
    <x v="1"/>
  </r>
  <r>
    <n v="5.7"/>
    <n v="1.1299999999999999"/>
    <n v="0.09"/>
    <n v="1.5"/>
    <n v="0.17199999999999999"/>
    <n v="7"/>
    <n v="19"/>
    <n v="0.99399999999999999"/>
    <n v="3.5"/>
    <n v="0.48"/>
    <n v="9.8000000000000007"/>
    <n v="4"/>
    <x v="2"/>
  </r>
  <r>
    <n v="7.3"/>
    <n v="0.45"/>
    <n v="0.36"/>
    <n v="5.9"/>
    <n v="7.3999999999999996E-2"/>
    <n v="12"/>
    <n v="87"/>
    <n v="0.99780000000000002"/>
    <n v="3.33"/>
    <n v="0.83"/>
    <n v="10.5"/>
    <n v="5"/>
    <x v="0"/>
  </r>
  <r>
    <n v="7.3"/>
    <n v="0.45"/>
    <n v="0.36"/>
    <n v="5.9"/>
    <n v="7.3999999999999996E-2"/>
    <n v="12"/>
    <n v="87"/>
    <n v="0.99780000000000002"/>
    <n v="3.33"/>
    <n v="0.83"/>
    <n v="10.5"/>
    <n v="5"/>
    <x v="0"/>
  </r>
  <r>
    <n v="8.8000000000000007"/>
    <n v="0.61"/>
    <n v="0.3"/>
    <n v="2.8"/>
    <n v="8.7999999999999995E-2"/>
    <n v="17"/>
    <n v="46"/>
    <n v="0.99760000000000004"/>
    <n v="3.26"/>
    <n v="0.51"/>
    <n v="9.3000000000000007"/>
    <n v="4"/>
    <x v="2"/>
  </r>
  <r>
    <n v="7.5"/>
    <n v="0.49"/>
    <n v="0.2"/>
    <n v="2.6"/>
    <n v="0.33200000000000002"/>
    <n v="8"/>
    <n v="14"/>
    <n v="0.99680000000000002"/>
    <n v="3.21"/>
    <n v="0.9"/>
    <n v="10.5"/>
    <n v="6"/>
    <x v="0"/>
  </r>
  <r>
    <n v="8.1"/>
    <n v="0.66"/>
    <n v="0.22"/>
    <n v="2.2000000000000002"/>
    <n v="6.9000000000000006E-2"/>
    <n v="9"/>
    <n v="23"/>
    <n v="0.99680000000000002"/>
    <n v="3.3"/>
    <n v="1.2"/>
    <n v="10.3"/>
    <n v="5"/>
    <x v="0"/>
  </r>
  <r>
    <n v="6.8"/>
    <n v="0.67"/>
    <n v="0.02"/>
    <n v="1.8"/>
    <n v="0.05"/>
    <n v="5"/>
    <n v="11"/>
    <n v="0.99619999999999997"/>
    <n v="3.48"/>
    <n v="0.52"/>
    <n v="9.5"/>
    <n v="5"/>
    <x v="0"/>
  </r>
  <r>
    <n v="4.5999999999999996"/>
    <n v="0.52"/>
    <n v="0.15"/>
    <n v="2.1"/>
    <n v="5.3999999999999999E-2"/>
    <n v="8"/>
    <n v="65"/>
    <n v="0.99339999999999995"/>
    <n v="3.9"/>
    <n v="0.56000000000000005"/>
    <n v="13.1"/>
    <n v="4"/>
    <x v="2"/>
  </r>
  <r>
    <n v="7.7"/>
    <n v="0.93500000000000005"/>
    <n v="0.43"/>
    <n v="2.2000000000000002"/>
    <n v="0.114"/>
    <n v="22"/>
    <n v="114"/>
    <n v="0.997"/>
    <n v="3.25"/>
    <n v="0.73"/>
    <n v="9.1999999999999993"/>
    <n v="5"/>
    <x v="0"/>
  </r>
  <r>
    <n v="8.6999999999999993"/>
    <n v="0.28999999999999998"/>
    <n v="0.52"/>
    <n v="1.6"/>
    <n v="0.113"/>
    <n v="12"/>
    <n v="37"/>
    <n v="0.99690000000000001"/>
    <n v="3.25"/>
    <n v="0.57999999999999996"/>
    <n v="9.5"/>
    <n v="5"/>
    <x v="0"/>
  </r>
  <r>
    <n v="6.4"/>
    <n v="0.4"/>
    <n v="0.23"/>
    <n v="1.6"/>
    <n v="6.6000000000000003E-2"/>
    <n v="5"/>
    <n v="12"/>
    <n v="0.99580000000000002"/>
    <n v="3.34"/>
    <n v="0.56000000000000005"/>
    <n v="9.1999999999999993"/>
    <n v="5"/>
    <x v="0"/>
  </r>
  <r>
    <n v="5.6"/>
    <n v="0.31"/>
    <n v="0.37"/>
    <n v="1.4"/>
    <n v="7.3999999999999996E-2"/>
    <n v="12"/>
    <n v="96"/>
    <n v="0.99539999999999995"/>
    <n v="3.32"/>
    <n v="0.57999999999999996"/>
    <n v="9.1999999999999993"/>
    <n v="5"/>
    <x v="0"/>
  </r>
  <r>
    <n v="8.8000000000000007"/>
    <n v="0.66"/>
    <n v="0.26"/>
    <n v="1.7"/>
    <n v="7.3999999999999996E-2"/>
    <n v="4"/>
    <n v="23"/>
    <n v="0.99709999999999999"/>
    <n v="3.15"/>
    <n v="0.74"/>
    <n v="9.1999999999999993"/>
    <n v="5"/>
    <x v="0"/>
  </r>
  <r>
    <n v="6.6"/>
    <n v="0.52"/>
    <n v="0.04"/>
    <n v="2.2000000000000002"/>
    <n v="6.9000000000000006E-2"/>
    <n v="8"/>
    <n v="15"/>
    <n v="0.99560000000000004"/>
    <n v="3.4"/>
    <n v="0.63"/>
    <n v="9.4"/>
    <n v="6"/>
    <x v="0"/>
  </r>
  <r>
    <n v="6.6"/>
    <n v="0.5"/>
    <n v="0.04"/>
    <n v="2.1"/>
    <n v="6.8000000000000005E-2"/>
    <n v="6"/>
    <n v="14"/>
    <n v="0.99550000000000005"/>
    <n v="3.39"/>
    <n v="0.64"/>
    <n v="9.4"/>
    <n v="6"/>
    <x v="0"/>
  </r>
  <r>
    <n v="8.6"/>
    <n v="0.38"/>
    <n v="0.36"/>
    <n v="3"/>
    <n v="8.1000000000000003E-2"/>
    <n v="30"/>
    <n v="119"/>
    <n v="0.997"/>
    <n v="3.2"/>
    <n v="0.56000000000000005"/>
    <n v="9.4"/>
    <n v="5"/>
    <x v="0"/>
  </r>
  <r>
    <n v="7.6"/>
    <n v="0.51"/>
    <n v="0.15"/>
    <n v="2.8"/>
    <n v="0.11"/>
    <n v="33"/>
    <n v="73"/>
    <n v="0.99550000000000005"/>
    <n v="3.17"/>
    <n v="0.63"/>
    <n v="10.199999999999999"/>
    <n v="6"/>
    <x v="0"/>
  </r>
  <r>
    <n v="7.7"/>
    <n v="0.62"/>
    <n v="0.04"/>
    <n v="3.8"/>
    <n v="8.4000000000000005E-2"/>
    <n v="25"/>
    <n v="45"/>
    <n v="0.99780000000000002"/>
    <n v="3.34"/>
    <n v="0.53"/>
    <n v="9.5"/>
    <n v="5"/>
    <x v="0"/>
  </r>
  <r>
    <n v="10.199999999999999"/>
    <n v="0.42"/>
    <n v="0.56999999999999995"/>
    <n v="3.4"/>
    <n v="7.0000000000000007E-2"/>
    <n v="4"/>
    <n v="10"/>
    <n v="0.99709999999999999"/>
    <n v="3.04"/>
    <n v="0.63"/>
    <n v="9.6"/>
    <n v="5"/>
    <x v="0"/>
  </r>
  <r>
    <n v="7.5"/>
    <n v="0.63"/>
    <n v="0.12"/>
    <n v="5.0999999999999996"/>
    <n v="0.111"/>
    <n v="50"/>
    <n v="110"/>
    <n v="0.99829999999999997"/>
    <n v="3.26"/>
    <n v="0.77"/>
    <n v="9.4"/>
    <n v="5"/>
    <x v="0"/>
  </r>
  <r>
    <n v="7.8"/>
    <n v="0.59"/>
    <n v="0.18"/>
    <n v="2.2999999999999998"/>
    <n v="7.5999999999999998E-2"/>
    <n v="17"/>
    <n v="54"/>
    <n v="0.99750000000000005"/>
    <n v="3.43"/>
    <n v="0.59"/>
    <n v="10"/>
    <n v="5"/>
    <x v="0"/>
  </r>
  <r>
    <n v="7.3"/>
    <n v="0.39"/>
    <n v="0.31"/>
    <n v="2.4"/>
    <n v="7.3999999999999996E-2"/>
    <n v="9"/>
    <n v="46"/>
    <n v="0.99619999999999997"/>
    <n v="3.41"/>
    <n v="0.54"/>
    <n v="9.4"/>
    <n v="6"/>
    <x v="0"/>
  </r>
  <r>
    <n v="8.8000000000000007"/>
    <n v="0.4"/>
    <n v="0.4"/>
    <n v="2.2000000000000002"/>
    <n v="7.9000000000000001E-2"/>
    <n v="19"/>
    <n v="52"/>
    <n v="0.998"/>
    <n v="3.44"/>
    <n v="0.64"/>
    <n v="9.1999999999999993"/>
    <n v="5"/>
    <x v="0"/>
  </r>
  <r>
    <n v="7.7"/>
    <n v="0.69"/>
    <n v="0.49"/>
    <n v="1.8"/>
    <n v="0.115"/>
    <n v="20"/>
    <n v="112"/>
    <n v="0.99680000000000002"/>
    <n v="3.21"/>
    <n v="0.71"/>
    <n v="9.3000000000000007"/>
    <n v="5"/>
    <x v="0"/>
  </r>
  <r>
    <n v="7.5"/>
    <n v="0.52"/>
    <n v="0.16"/>
    <n v="1.9"/>
    <n v="8.5000000000000006E-2"/>
    <n v="12"/>
    <n v="35"/>
    <n v="0.99680000000000002"/>
    <n v="3.38"/>
    <n v="0.62"/>
    <n v="9.5"/>
    <n v="7"/>
    <x v="1"/>
  </r>
  <r>
    <n v="7"/>
    <n v="0.73499999999999999"/>
    <n v="0.05"/>
    <n v="2"/>
    <n v="8.1000000000000003E-2"/>
    <n v="13"/>
    <n v="54"/>
    <n v="0.99660000000000004"/>
    <n v="3.39"/>
    <n v="0.56999999999999995"/>
    <n v="9.8000000000000007"/>
    <n v="5"/>
    <x v="0"/>
  </r>
  <r>
    <n v="7.2"/>
    <n v="0.72499999999999998"/>
    <n v="0.05"/>
    <n v="4.6500000000000004"/>
    <n v="8.5999999999999993E-2"/>
    <n v="4"/>
    <n v="11"/>
    <n v="0.99619999999999997"/>
    <n v="3.41"/>
    <n v="0.39"/>
    <n v="10.9"/>
    <n v="5"/>
    <x v="0"/>
  </r>
  <r>
    <n v="7.2"/>
    <n v="0.72499999999999998"/>
    <n v="0.05"/>
    <n v="4.6500000000000004"/>
    <n v="8.5999999999999993E-2"/>
    <n v="4"/>
    <n v="11"/>
    <n v="0.99619999999999997"/>
    <n v="3.41"/>
    <n v="0.39"/>
    <n v="10.9"/>
    <n v="5"/>
    <x v="0"/>
  </r>
  <r>
    <n v="7.5"/>
    <n v="0.52"/>
    <n v="0.11"/>
    <n v="1.5"/>
    <n v="7.9000000000000001E-2"/>
    <n v="11"/>
    <n v="39"/>
    <n v="0.99680000000000002"/>
    <n v="3.42"/>
    <n v="0.57999999999999996"/>
    <n v="9.6"/>
    <n v="5"/>
    <x v="0"/>
  </r>
  <r>
    <n v="6.6"/>
    <n v="0.70499999999999996"/>
    <n v="7.0000000000000007E-2"/>
    <n v="1.6"/>
    <n v="7.5999999999999998E-2"/>
    <n v="6"/>
    <n v="15"/>
    <n v="0.99619999999999997"/>
    <n v="3.44"/>
    <n v="0.57999999999999996"/>
    <n v="10.7"/>
    <n v="5"/>
    <x v="0"/>
  </r>
  <r>
    <n v="9.3000000000000007"/>
    <n v="0.32"/>
    <n v="0.56999999999999995"/>
    <n v="2"/>
    <n v="7.3999999999999996E-2"/>
    <n v="27"/>
    <n v="65"/>
    <n v="0.99690000000000001"/>
    <n v="3.28"/>
    <n v="0.79"/>
    <n v="10.7"/>
    <n v="5"/>
    <x v="0"/>
  </r>
  <r>
    <n v="8"/>
    <n v="0.70499999999999996"/>
    <n v="0.05"/>
    <n v="1.9"/>
    <n v="7.3999999999999996E-2"/>
    <n v="8"/>
    <n v="19"/>
    <n v="0.99619999999999997"/>
    <n v="3.34"/>
    <n v="0.95"/>
    <n v="10.5"/>
    <n v="6"/>
    <x v="0"/>
  </r>
  <r>
    <n v="7.7"/>
    <n v="0.63"/>
    <n v="0.08"/>
    <n v="1.9"/>
    <n v="7.5999999999999998E-2"/>
    <n v="15"/>
    <n v="27"/>
    <n v="0.99670000000000003"/>
    <n v="3.32"/>
    <n v="0.54"/>
    <n v="9.5"/>
    <n v="6"/>
    <x v="0"/>
  </r>
  <r>
    <n v="7.7"/>
    <n v="0.67"/>
    <n v="0.23"/>
    <n v="2.1"/>
    <n v="8.7999999999999995E-2"/>
    <n v="17"/>
    <n v="96"/>
    <n v="0.99619999999999997"/>
    <n v="3.32"/>
    <n v="0.48"/>
    <n v="9.5"/>
    <n v="5"/>
    <x v="0"/>
  </r>
  <r>
    <n v="7.7"/>
    <n v="0.69"/>
    <n v="0.22"/>
    <n v="1.9"/>
    <n v="8.4000000000000005E-2"/>
    <n v="18"/>
    <n v="94"/>
    <n v="0.99609999999999999"/>
    <n v="3.31"/>
    <n v="0.48"/>
    <n v="9.5"/>
    <n v="5"/>
    <x v="0"/>
  </r>
  <r>
    <n v="8.3000000000000007"/>
    <n v="0.67500000000000004"/>
    <n v="0.26"/>
    <n v="2.1"/>
    <n v="8.4000000000000005E-2"/>
    <n v="11"/>
    <n v="43"/>
    <n v="0.99760000000000004"/>
    <n v="3.31"/>
    <n v="0.53"/>
    <n v="9.1999999999999993"/>
    <n v="4"/>
    <x v="2"/>
  </r>
  <r>
    <n v="9.6999999999999993"/>
    <n v="0.32"/>
    <n v="0.54"/>
    <n v="2.5"/>
    <n v="9.4E-2"/>
    <n v="28"/>
    <n v="83"/>
    <n v="0.99839999999999995"/>
    <n v="3.28"/>
    <n v="0.82"/>
    <n v="9.6"/>
    <n v="5"/>
    <x v="0"/>
  </r>
  <r>
    <n v="8.8000000000000007"/>
    <n v="0.41"/>
    <n v="0.64"/>
    <n v="2.2000000000000002"/>
    <n v="9.2999999999999999E-2"/>
    <n v="9"/>
    <n v="42"/>
    <n v="0.99860000000000004"/>
    <n v="3.54"/>
    <n v="0.66"/>
    <n v="10.5"/>
    <n v="5"/>
    <x v="0"/>
  </r>
  <r>
    <n v="8.8000000000000007"/>
    <n v="0.41"/>
    <n v="0.64"/>
    <n v="2.2000000000000002"/>
    <n v="9.2999999999999999E-2"/>
    <n v="9"/>
    <n v="42"/>
    <n v="0.99860000000000004"/>
    <n v="3.54"/>
    <n v="0.66"/>
    <n v="10.5"/>
    <n v="5"/>
    <x v="0"/>
  </r>
  <r>
    <n v="6.8"/>
    <n v="0.78500000000000003"/>
    <n v="0"/>
    <n v="2.4"/>
    <n v="0.104"/>
    <n v="14"/>
    <n v="30"/>
    <n v="0.99660000000000004"/>
    <n v="3.52"/>
    <n v="0.55000000000000004"/>
    <n v="10.7"/>
    <n v="6"/>
    <x v="0"/>
  </r>
  <r>
    <n v="6.7"/>
    <n v="0.75"/>
    <n v="0.12"/>
    <n v="2"/>
    <n v="8.5999999999999993E-2"/>
    <n v="12"/>
    <n v="80"/>
    <n v="0.99580000000000002"/>
    <n v="3.38"/>
    <n v="0.52"/>
    <n v="10.1"/>
    <n v="5"/>
    <x v="0"/>
  </r>
  <r>
    <n v="8.3000000000000007"/>
    <n v="0.625"/>
    <n v="0.2"/>
    <n v="1.5"/>
    <n v="0.08"/>
    <n v="27"/>
    <n v="119"/>
    <n v="0.99719999999999998"/>
    <n v="3.16"/>
    <n v="1.1200000000000001"/>
    <n v="9.1"/>
    <n v="4"/>
    <x v="2"/>
  </r>
  <r>
    <n v="6.2"/>
    <n v="0.45"/>
    <n v="0.2"/>
    <n v="1.6"/>
    <n v="6.9000000000000006E-2"/>
    <n v="3"/>
    <n v="15"/>
    <n v="0.99580000000000002"/>
    <n v="3.41"/>
    <n v="0.56000000000000005"/>
    <n v="9.1999999999999993"/>
    <n v="5"/>
    <x v="0"/>
  </r>
  <r>
    <n v="7.8"/>
    <n v="0.43"/>
    <n v="0.7"/>
    <n v="1.9"/>
    <n v="0.46400000000000002"/>
    <n v="22"/>
    <n v="67"/>
    <n v="0.99739999999999995"/>
    <n v="3.13"/>
    <n v="1.28"/>
    <n v="9.4"/>
    <n v="5"/>
    <x v="0"/>
  </r>
  <r>
    <n v="7.4"/>
    <n v="0.5"/>
    <n v="0.47"/>
    <n v="2"/>
    <n v="8.5999999999999993E-2"/>
    <n v="21"/>
    <n v="73"/>
    <n v="0.997"/>
    <n v="3.36"/>
    <n v="0.56999999999999995"/>
    <n v="9.1"/>
    <n v="5"/>
    <x v="0"/>
  </r>
  <r>
    <n v="7.3"/>
    <n v="0.67"/>
    <n v="0.26"/>
    <n v="1.8"/>
    <n v="0.40100000000000002"/>
    <n v="16"/>
    <n v="51"/>
    <n v="0.99690000000000001"/>
    <n v="3.16"/>
    <n v="1.1399999999999999"/>
    <n v="9.4"/>
    <n v="5"/>
    <x v="0"/>
  </r>
  <r>
    <n v="6.3"/>
    <n v="0.3"/>
    <n v="0.48"/>
    <n v="1.8"/>
    <n v="6.9000000000000006E-2"/>
    <n v="18"/>
    <n v="61"/>
    <n v="0.99590000000000001"/>
    <n v="3.44"/>
    <n v="0.78"/>
    <n v="10.3"/>
    <n v="6"/>
    <x v="0"/>
  </r>
  <r>
    <n v="6.9"/>
    <n v="0.55000000000000004"/>
    <n v="0.15"/>
    <n v="2.2000000000000002"/>
    <n v="7.5999999999999998E-2"/>
    <n v="19"/>
    <n v="40"/>
    <n v="0.99609999999999999"/>
    <n v="3.41"/>
    <n v="0.59"/>
    <n v="10.1"/>
    <n v="5"/>
    <x v="0"/>
  </r>
  <r>
    <n v="8.6"/>
    <n v="0.49"/>
    <n v="0.28000000000000003"/>
    <n v="1.9"/>
    <n v="0.11"/>
    <n v="20"/>
    <n v="136"/>
    <n v="0.99719999999999998"/>
    <n v="2.93"/>
    <n v="1.95"/>
    <n v="9.9"/>
    <n v="6"/>
    <x v="0"/>
  </r>
  <r>
    <n v="7.7"/>
    <n v="0.49"/>
    <n v="0.26"/>
    <n v="1.9"/>
    <n v="6.2E-2"/>
    <n v="9"/>
    <n v="31"/>
    <n v="0.99660000000000004"/>
    <n v="3.39"/>
    <n v="0.64"/>
    <n v="9.6"/>
    <n v="5"/>
    <x v="0"/>
  </r>
  <r>
    <n v="9.3000000000000007"/>
    <n v="0.39"/>
    <n v="0.44"/>
    <n v="2.1"/>
    <n v="0.107"/>
    <n v="34"/>
    <n v="125"/>
    <n v="0.99780000000000002"/>
    <n v="3.14"/>
    <n v="1.22"/>
    <n v="9.5"/>
    <n v="5"/>
    <x v="0"/>
  </r>
  <r>
    <n v="7"/>
    <n v="0.62"/>
    <n v="0.08"/>
    <n v="1.8"/>
    <n v="7.5999999999999998E-2"/>
    <n v="8"/>
    <n v="24"/>
    <n v="0.99780000000000002"/>
    <n v="3.48"/>
    <n v="0.53"/>
    <n v="9"/>
    <n v="5"/>
    <x v="0"/>
  </r>
  <r>
    <n v="7.9"/>
    <n v="0.52"/>
    <n v="0.26"/>
    <n v="1.9"/>
    <n v="7.9000000000000001E-2"/>
    <n v="42"/>
    <n v="140"/>
    <n v="0.99639999999999995"/>
    <n v="3.23"/>
    <n v="0.54"/>
    <n v="9.5"/>
    <n v="5"/>
    <x v="0"/>
  </r>
  <r>
    <n v="8.6"/>
    <n v="0.49"/>
    <n v="0.28000000000000003"/>
    <n v="1.9"/>
    <n v="0.11"/>
    <n v="20"/>
    <n v="136"/>
    <n v="0.99719999999999998"/>
    <n v="2.93"/>
    <n v="1.95"/>
    <n v="9.9"/>
    <n v="6"/>
    <x v="0"/>
  </r>
  <r>
    <n v="8.6"/>
    <n v="0.49"/>
    <n v="0.28999999999999998"/>
    <n v="2"/>
    <n v="0.11"/>
    <n v="19"/>
    <n v="133"/>
    <n v="0.99719999999999998"/>
    <n v="2.93"/>
    <n v="1.98"/>
    <n v="9.8000000000000007"/>
    <n v="5"/>
    <x v="0"/>
  </r>
  <r>
    <n v="7.7"/>
    <n v="0.49"/>
    <n v="0.26"/>
    <n v="1.9"/>
    <n v="6.2E-2"/>
    <n v="9"/>
    <n v="31"/>
    <n v="0.99660000000000004"/>
    <n v="3.39"/>
    <n v="0.64"/>
    <n v="9.6"/>
    <n v="5"/>
    <x v="0"/>
  </r>
  <r>
    <n v="5"/>
    <n v="1.02"/>
    <n v="0.04"/>
    <n v="1.4"/>
    <n v="4.4999999999999998E-2"/>
    <n v="41"/>
    <n v="85"/>
    <n v="0.99380000000000002"/>
    <n v="3.75"/>
    <n v="0.48"/>
    <n v="10.5"/>
    <n v="4"/>
    <x v="2"/>
  </r>
  <r>
    <n v="4.7"/>
    <n v="0.6"/>
    <n v="0.17"/>
    <n v="2.2999999999999998"/>
    <n v="5.8000000000000003E-2"/>
    <n v="17"/>
    <n v="106"/>
    <n v="0.99319999999999997"/>
    <n v="3.85"/>
    <n v="0.6"/>
    <n v="12.9"/>
    <n v="6"/>
    <x v="0"/>
  </r>
  <r>
    <n v="6.8"/>
    <n v="0.77500000000000002"/>
    <n v="0"/>
    <n v="3"/>
    <n v="0.10199999999999999"/>
    <n v="8"/>
    <n v="23"/>
    <n v="0.99650000000000005"/>
    <n v="3.45"/>
    <n v="0.56000000000000005"/>
    <n v="10.7"/>
    <n v="5"/>
    <x v="0"/>
  </r>
  <r>
    <n v="7"/>
    <n v="0.5"/>
    <n v="0.25"/>
    <n v="2"/>
    <n v="7.0000000000000007E-2"/>
    <n v="3"/>
    <n v="22"/>
    <n v="0.99629999999999996"/>
    <n v="3.25"/>
    <n v="0.63"/>
    <n v="9.1999999999999993"/>
    <n v="5"/>
    <x v="0"/>
  </r>
  <r>
    <n v="7.6"/>
    <n v="0.9"/>
    <n v="0.06"/>
    <n v="2.5"/>
    <n v="7.9000000000000001E-2"/>
    <n v="5"/>
    <n v="10"/>
    <n v="0.99670000000000003"/>
    <n v="3.39"/>
    <n v="0.56000000000000005"/>
    <n v="9.8000000000000007"/>
    <n v="5"/>
    <x v="0"/>
  </r>
  <r>
    <n v="8.1"/>
    <n v="0.54500000000000004"/>
    <n v="0.18"/>
    <n v="1.9"/>
    <n v="0.08"/>
    <n v="13"/>
    <n v="35"/>
    <n v="0.99719999999999998"/>
    <n v="3.3"/>
    <n v="0.59"/>
    <n v="9"/>
    <n v="6"/>
    <x v="0"/>
  </r>
  <r>
    <n v="8.3000000000000007"/>
    <n v="0.61"/>
    <n v="0.3"/>
    <n v="2.1"/>
    <n v="8.4000000000000005E-2"/>
    <n v="11"/>
    <n v="50"/>
    <n v="0.99719999999999998"/>
    <n v="3.4"/>
    <n v="0.61"/>
    <n v="10.199999999999999"/>
    <n v="6"/>
    <x v="0"/>
  </r>
  <r>
    <n v="7.8"/>
    <n v="0.5"/>
    <n v="0.3"/>
    <n v="1.9"/>
    <n v="7.4999999999999997E-2"/>
    <n v="8"/>
    <n v="22"/>
    <n v="0.99590000000000001"/>
    <n v="3.31"/>
    <n v="0.56000000000000005"/>
    <n v="10.4"/>
    <n v="6"/>
    <x v="0"/>
  </r>
  <r>
    <n v="8.1"/>
    <n v="0.54500000000000004"/>
    <n v="0.18"/>
    <n v="1.9"/>
    <n v="0.08"/>
    <n v="13"/>
    <n v="35"/>
    <n v="0.99719999999999998"/>
    <n v="3.3"/>
    <n v="0.59"/>
    <n v="9"/>
    <n v="6"/>
    <x v="0"/>
  </r>
  <r>
    <n v="8.1"/>
    <n v="0.57499999999999996"/>
    <n v="0.22"/>
    <n v="2.1"/>
    <n v="7.6999999999999999E-2"/>
    <n v="12"/>
    <n v="65"/>
    <n v="0.99670000000000003"/>
    <n v="3.29"/>
    <n v="0.51"/>
    <n v="9.1999999999999993"/>
    <n v="5"/>
    <x v="0"/>
  </r>
  <r>
    <n v="7.2"/>
    <n v="0.49"/>
    <n v="0.24"/>
    <n v="2.2000000000000002"/>
    <n v="7.0000000000000007E-2"/>
    <n v="5"/>
    <n v="36"/>
    <n v="0.996"/>
    <n v="3.33"/>
    <n v="0.48"/>
    <n v="9.4"/>
    <n v="5"/>
    <x v="0"/>
  </r>
  <r>
    <n v="8.1"/>
    <n v="0.57499999999999996"/>
    <n v="0.22"/>
    <n v="2.1"/>
    <n v="7.6999999999999999E-2"/>
    <n v="12"/>
    <n v="65"/>
    <n v="0.99670000000000003"/>
    <n v="3.29"/>
    <n v="0.51"/>
    <n v="9.1999999999999993"/>
    <n v="5"/>
    <x v="0"/>
  </r>
  <r>
    <n v="7.8"/>
    <n v="0.41"/>
    <n v="0.68"/>
    <n v="1.7"/>
    <n v="0.46700000000000003"/>
    <n v="18"/>
    <n v="69"/>
    <n v="0.99729999999999996"/>
    <n v="3.08"/>
    <n v="1.31"/>
    <n v="9.3000000000000007"/>
    <n v="5"/>
    <x v="0"/>
  </r>
  <r>
    <n v="6.2"/>
    <n v="0.63"/>
    <n v="0.31"/>
    <n v="1.7"/>
    <n v="8.7999999999999995E-2"/>
    <n v="15"/>
    <n v="64"/>
    <n v="0.99690000000000001"/>
    <n v="3.46"/>
    <n v="0.79"/>
    <n v="9.3000000000000007"/>
    <n v="5"/>
    <x v="0"/>
  </r>
  <r>
    <n v="8"/>
    <n v="0.33"/>
    <n v="0.53"/>
    <n v="2.5"/>
    <n v="9.0999999999999998E-2"/>
    <n v="18"/>
    <n v="80"/>
    <n v="0.99760000000000004"/>
    <n v="3.37"/>
    <n v="0.8"/>
    <n v="9.6"/>
    <n v="6"/>
    <x v="0"/>
  </r>
  <r>
    <n v="8.1"/>
    <n v="0.78500000000000003"/>
    <n v="0.52"/>
    <n v="2"/>
    <n v="0.122"/>
    <n v="37"/>
    <n v="153"/>
    <n v="0.99690000000000001"/>
    <n v="3.21"/>
    <n v="0.69"/>
    <n v="9.3000000000000007"/>
    <n v="5"/>
    <x v="0"/>
  </r>
  <r>
    <n v="7.8"/>
    <n v="0.56000000000000005"/>
    <n v="0.19"/>
    <n v="1.8"/>
    <n v="0.104"/>
    <n v="12"/>
    <n v="47"/>
    <n v="0.99639999999999995"/>
    <n v="3.19"/>
    <n v="0.93"/>
    <n v="9.5"/>
    <n v="5"/>
    <x v="0"/>
  </r>
  <r>
    <n v="8.4"/>
    <n v="0.62"/>
    <n v="0.09"/>
    <n v="2.2000000000000002"/>
    <n v="8.4000000000000005E-2"/>
    <n v="11"/>
    <n v="108"/>
    <n v="0.99639999999999995"/>
    <n v="3.15"/>
    <n v="0.66"/>
    <n v="9.8000000000000007"/>
    <n v="5"/>
    <x v="0"/>
  </r>
  <r>
    <n v="8.4"/>
    <n v="0.6"/>
    <n v="0.1"/>
    <n v="2.2000000000000002"/>
    <n v="8.5000000000000006E-2"/>
    <n v="14"/>
    <n v="111"/>
    <n v="0.99639999999999995"/>
    <n v="3.15"/>
    <n v="0.66"/>
    <n v="9.8000000000000007"/>
    <n v="5"/>
    <x v="0"/>
  </r>
  <r>
    <n v="10.1"/>
    <n v="0.31"/>
    <n v="0.44"/>
    <n v="2.2999999999999998"/>
    <n v="0.08"/>
    <n v="22"/>
    <n v="46"/>
    <n v="0.99880000000000002"/>
    <n v="3.32"/>
    <n v="0.67"/>
    <n v="9.6999999999999993"/>
    <n v="6"/>
    <x v="0"/>
  </r>
  <r>
    <n v="7.8"/>
    <n v="0.56000000000000005"/>
    <n v="0.19"/>
    <n v="1.8"/>
    <n v="0.104"/>
    <n v="12"/>
    <n v="47"/>
    <n v="0.99639999999999995"/>
    <n v="3.19"/>
    <n v="0.93"/>
    <n v="9.5"/>
    <n v="5"/>
    <x v="0"/>
  </r>
  <r>
    <n v="9.4"/>
    <n v="0.4"/>
    <n v="0.31"/>
    <n v="2.2000000000000002"/>
    <n v="0.09"/>
    <n v="13"/>
    <n v="62"/>
    <n v="0.99660000000000004"/>
    <n v="3.07"/>
    <n v="0.63"/>
    <n v="10.5"/>
    <n v="6"/>
    <x v="0"/>
  </r>
  <r>
    <n v="8.3000000000000007"/>
    <n v="0.54"/>
    <n v="0.28000000000000003"/>
    <n v="1.9"/>
    <n v="7.6999999999999999E-2"/>
    <n v="11"/>
    <n v="40"/>
    <n v="0.99780000000000002"/>
    <n v="3.39"/>
    <n v="0.61"/>
    <n v="10"/>
    <n v="6"/>
    <x v="0"/>
  </r>
  <r>
    <n v="7.8"/>
    <n v="0.56000000000000005"/>
    <n v="0.12"/>
    <n v="2"/>
    <n v="8.2000000000000003E-2"/>
    <n v="7"/>
    <n v="28"/>
    <n v="0.997"/>
    <n v="3.37"/>
    <n v="0.5"/>
    <n v="9.4"/>
    <n v="6"/>
    <x v="0"/>
  </r>
  <r>
    <n v="8.8000000000000007"/>
    <n v="0.55000000000000004"/>
    <n v="0.04"/>
    <n v="2.2000000000000002"/>
    <n v="0.11899999999999999"/>
    <n v="14"/>
    <n v="56"/>
    <n v="0.99619999999999997"/>
    <n v="3.21"/>
    <n v="0.6"/>
    <n v="10.9"/>
    <n v="6"/>
    <x v="0"/>
  </r>
  <r>
    <n v="7"/>
    <n v="0.69"/>
    <n v="0.08"/>
    <n v="1.8"/>
    <n v="9.7000000000000003E-2"/>
    <n v="22"/>
    <n v="89"/>
    <n v="0.99590000000000001"/>
    <n v="3.34"/>
    <n v="0.54"/>
    <n v="9.1999999999999993"/>
    <n v="6"/>
    <x v="0"/>
  </r>
  <r>
    <n v="7.3"/>
    <n v="1.07"/>
    <n v="0.09"/>
    <n v="1.7"/>
    <n v="0.17799999999999999"/>
    <n v="10"/>
    <n v="89"/>
    <n v="0.99619999999999997"/>
    <n v="3.3"/>
    <n v="0.56999999999999995"/>
    <n v="9"/>
    <n v="5"/>
    <x v="0"/>
  </r>
  <r>
    <n v="8.8000000000000007"/>
    <n v="0.55000000000000004"/>
    <n v="0.04"/>
    <n v="2.2000000000000002"/>
    <n v="0.11899999999999999"/>
    <n v="14"/>
    <n v="56"/>
    <n v="0.99619999999999997"/>
    <n v="3.21"/>
    <n v="0.6"/>
    <n v="10.9"/>
    <n v="6"/>
    <x v="0"/>
  </r>
  <r>
    <n v="7.3"/>
    <n v="0.69499999999999995"/>
    <n v="0"/>
    <n v="2.5"/>
    <n v="7.4999999999999997E-2"/>
    <n v="3"/>
    <n v="13"/>
    <n v="0.998"/>
    <n v="3.49"/>
    <n v="0.52"/>
    <n v="9.1999999999999993"/>
    <n v="5"/>
    <x v="0"/>
  </r>
  <r>
    <n v="8"/>
    <n v="0.71"/>
    <n v="0"/>
    <n v="2.6"/>
    <n v="0.08"/>
    <n v="11"/>
    <n v="34"/>
    <n v="0.99760000000000004"/>
    <n v="3.44"/>
    <n v="0.53"/>
    <n v="9.5"/>
    <n v="5"/>
    <x v="0"/>
  </r>
  <r>
    <n v="7.8"/>
    <n v="0.5"/>
    <n v="0.17"/>
    <n v="1.6"/>
    <n v="8.2000000000000003E-2"/>
    <n v="21"/>
    <n v="102"/>
    <n v="0.996"/>
    <n v="3.39"/>
    <n v="0.48"/>
    <n v="9.5"/>
    <n v="5"/>
    <x v="0"/>
  </r>
  <r>
    <n v="9"/>
    <n v="0.62"/>
    <n v="0.04"/>
    <n v="1.9"/>
    <n v="0.14599999999999999"/>
    <n v="27"/>
    <n v="90"/>
    <n v="0.99839999999999995"/>
    <n v="3.16"/>
    <n v="0.7"/>
    <n v="9.4"/>
    <n v="5"/>
    <x v="0"/>
  </r>
  <r>
    <n v="8.1999999999999993"/>
    <n v="1.33"/>
    <n v="0"/>
    <n v="1.7"/>
    <n v="8.1000000000000003E-2"/>
    <n v="3"/>
    <n v="12"/>
    <n v="0.99639999999999995"/>
    <n v="3.53"/>
    <n v="0.49"/>
    <n v="10.9"/>
    <n v="5"/>
    <x v="0"/>
  </r>
  <r>
    <n v="8.1"/>
    <n v="1.33"/>
    <n v="0"/>
    <n v="1.8"/>
    <n v="8.2000000000000003E-2"/>
    <n v="3"/>
    <n v="12"/>
    <n v="0.99639999999999995"/>
    <n v="3.54"/>
    <n v="0.48"/>
    <n v="10.9"/>
    <n v="5"/>
    <x v="0"/>
  </r>
  <r>
    <n v="8"/>
    <n v="0.59"/>
    <n v="0.16"/>
    <n v="1.8"/>
    <n v="6.5000000000000002E-2"/>
    <n v="3"/>
    <n v="16"/>
    <n v="0.99619999999999997"/>
    <n v="3.42"/>
    <n v="0.92"/>
    <n v="10.5"/>
    <n v="7"/>
    <x v="1"/>
  </r>
  <r>
    <n v="6.1"/>
    <n v="0.38"/>
    <n v="0.15"/>
    <n v="1.8"/>
    <n v="7.1999999999999995E-2"/>
    <n v="6"/>
    <n v="19"/>
    <n v="0.99550000000000005"/>
    <n v="3.42"/>
    <n v="0.56999999999999995"/>
    <n v="9.4"/>
    <n v="5"/>
    <x v="0"/>
  </r>
  <r>
    <n v="8"/>
    <n v="0.745"/>
    <n v="0.56000000000000005"/>
    <n v="2"/>
    <n v="0.11799999999999999"/>
    <n v="30"/>
    <n v="134"/>
    <n v="0.99680000000000002"/>
    <n v="3.24"/>
    <n v="0.66"/>
    <n v="9.4"/>
    <n v="5"/>
    <x v="0"/>
  </r>
  <r>
    <n v="5.6"/>
    <n v="0.5"/>
    <n v="0.09"/>
    <n v="2.2999999999999998"/>
    <n v="4.9000000000000002E-2"/>
    <n v="17"/>
    <n v="99"/>
    <n v="0.99370000000000003"/>
    <n v="3.63"/>
    <n v="0.63"/>
    <n v="13"/>
    <n v="5"/>
    <x v="0"/>
  </r>
  <r>
    <n v="5.6"/>
    <n v="0.5"/>
    <n v="0.09"/>
    <n v="2.2999999999999998"/>
    <n v="4.9000000000000002E-2"/>
    <n v="17"/>
    <n v="99"/>
    <n v="0.99370000000000003"/>
    <n v="3.63"/>
    <n v="0.63"/>
    <n v="13"/>
    <n v="5"/>
    <x v="0"/>
  </r>
  <r>
    <n v="6.6"/>
    <n v="0.5"/>
    <n v="0.01"/>
    <n v="1.5"/>
    <n v="0.06"/>
    <n v="17"/>
    <n v="26"/>
    <n v="0.99519999999999997"/>
    <n v="3.4"/>
    <n v="0.57999999999999996"/>
    <n v="9.8000000000000007"/>
    <n v="6"/>
    <x v="0"/>
  </r>
  <r>
    <n v="7.9"/>
    <n v="1.04"/>
    <n v="0.05"/>
    <n v="2.2000000000000002"/>
    <n v="8.4000000000000005E-2"/>
    <n v="13"/>
    <n v="29"/>
    <n v="0.99590000000000001"/>
    <n v="3.22"/>
    <n v="0.55000000000000004"/>
    <n v="9.9"/>
    <n v="6"/>
    <x v="0"/>
  </r>
  <r>
    <n v="8.4"/>
    <n v="0.745"/>
    <n v="0.11"/>
    <n v="1.9"/>
    <n v="0.09"/>
    <n v="16"/>
    <n v="63"/>
    <n v="0.99650000000000005"/>
    <n v="3.19"/>
    <n v="0.82"/>
    <n v="9.6"/>
    <n v="5"/>
    <x v="0"/>
  </r>
  <r>
    <n v="8.3000000000000007"/>
    <n v="0.71499999999999997"/>
    <n v="0.15"/>
    <n v="1.8"/>
    <n v="8.8999999999999996E-2"/>
    <n v="10"/>
    <n v="52"/>
    <n v="0.99680000000000002"/>
    <n v="3.23"/>
    <n v="0.77"/>
    <n v="9.5"/>
    <n v="5"/>
    <x v="0"/>
  </r>
  <r>
    <n v="7.2"/>
    <n v="0.41499999999999998"/>
    <n v="0.36"/>
    <n v="2"/>
    <n v="8.1000000000000003E-2"/>
    <n v="13"/>
    <n v="45"/>
    <n v="0.99719999999999998"/>
    <n v="3.48"/>
    <n v="0.64"/>
    <n v="9.1999999999999993"/>
    <n v="5"/>
    <x v="0"/>
  </r>
  <r>
    <n v="7.8"/>
    <n v="0.56000000000000005"/>
    <n v="0.19"/>
    <n v="2.1"/>
    <n v="8.1000000000000003E-2"/>
    <n v="15"/>
    <n v="105"/>
    <n v="0.99619999999999997"/>
    <n v="3.33"/>
    <n v="0.54"/>
    <n v="9.5"/>
    <n v="5"/>
    <x v="0"/>
  </r>
  <r>
    <n v="7.8"/>
    <n v="0.56000000000000005"/>
    <n v="0.19"/>
    <n v="2"/>
    <n v="8.1000000000000003E-2"/>
    <n v="17"/>
    <n v="108"/>
    <n v="0.99619999999999997"/>
    <n v="3.32"/>
    <n v="0.54"/>
    <n v="9.5"/>
    <n v="5"/>
    <x v="0"/>
  </r>
  <r>
    <n v="8.4"/>
    <n v="0.745"/>
    <n v="0.11"/>
    <n v="1.9"/>
    <n v="0.09"/>
    <n v="16"/>
    <n v="63"/>
    <n v="0.99650000000000005"/>
    <n v="3.19"/>
    <n v="0.82"/>
    <n v="9.6"/>
    <n v="5"/>
    <x v="0"/>
  </r>
  <r>
    <n v="8.3000000000000007"/>
    <n v="0.71499999999999997"/>
    <n v="0.15"/>
    <n v="1.8"/>
    <n v="8.8999999999999996E-2"/>
    <n v="10"/>
    <n v="52"/>
    <n v="0.99680000000000002"/>
    <n v="3.23"/>
    <n v="0.77"/>
    <n v="9.5"/>
    <n v="5"/>
    <x v="0"/>
  </r>
  <r>
    <n v="5.2"/>
    <n v="0.34"/>
    <n v="0"/>
    <n v="1.8"/>
    <n v="0.05"/>
    <n v="27"/>
    <n v="63"/>
    <n v="0.99160000000000004"/>
    <n v="3.68"/>
    <n v="0.79"/>
    <n v="14"/>
    <n v="6"/>
    <x v="0"/>
  </r>
  <r>
    <n v="6.3"/>
    <n v="0.39"/>
    <n v="0.08"/>
    <n v="1.7"/>
    <n v="6.6000000000000003E-2"/>
    <n v="3"/>
    <n v="20"/>
    <n v="0.99539999999999995"/>
    <n v="3.34"/>
    <n v="0.57999999999999996"/>
    <n v="9.4"/>
    <n v="5"/>
    <x v="0"/>
  </r>
  <r>
    <n v="5.2"/>
    <n v="0.34"/>
    <n v="0"/>
    <n v="1.8"/>
    <n v="0.05"/>
    <n v="27"/>
    <n v="63"/>
    <n v="0.99160000000000004"/>
    <n v="3.68"/>
    <n v="0.79"/>
    <n v="14"/>
    <n v="6"/>
    <x v="0"/>
  </r>
  <r>
    <n v="8.1"/>
    <n v="0.67"/>
    <n v="0.55000000000000004"/>
    <n v="1.8"/>
    <n v="0.11700000000000001"/>
    <n v="32"/>
    <n v="141"/>
    <n v="0.99680000000000002"/>
    <n v="3.17"/>
    <n v="0.62"/>
    <n v="9.4"/>
    <n v="5"/>
    <x v="0"/>
  </r>
  <r>
    <n v="5.8"/>
    <n v="0.68"/>
    <n v="0.02"/>
    <n v="1.8"/>
    <n v="8.6999999999999994E-2"/>
    <n v="21"/>
    <n v="94"/>
    <n v="0.99439999999999995"/>
    <n v="3.54"/>
    <n v="0.52"/>
    <n v="10"/>
    <n v="5"/>
    <x v="0"/>
  </r>
  <r>
    <n v="7.6"/>
    <n v="0.49"/>
    <n v="0.26"/>
    <n v="1.6"/>
    <n v="0.23599999999999999"/>
    <n v="10"/>
    <n v="88"/>
    <n v="0.99680000000000002"/>
    <n v="3.11"/>
    <n v="0.8"/>
    <n v="9.3000000000000007"/>
    <n v="5"/>
    <x v="0"/>
  </r>
  <r>
    <n v="6.9"/>
    <n v="0.49"/>
    <n v="0.1"/>
    <n v="2.2999999999999998"/>
    <n v="7.3999999999999996E-2"/>
    <n v="12"/>
    <n v="30"/>
    <n v="0.99590000000000001"/>
    <n v="3.42"/>
    <n v="0.57999999999999996"/>
    <n v="10.199999999999999"/>
    <n v="6"/>
    <x v="0"/>
  </r>
  <r>
    <n v="8.1999999999999993"/>
    <n v="0.4"/>
    <n v="0.44"/>
    <n v="2.8"/>
    <n v="8.8999999999999996E-2"/>
    <n v="11"/>
    <n v="43"/>
    <n v="0.99750000000000005"/>
    <n v="3.53"/>
    <n v="0.61"/>
    <n v="10.5"/>
    <n v="6"/>
    <x v="0"/>
  </r>
  <r>
    <n v="7.3"/>
    <n v="0.33"/>
    <n v="0.47"/>
    <n v="2.1"/>
    <n v="7.6999999999999999E-2"/>
    <n v="5"/>
    <n v="11"/>
    <n v="0.99580000000000002"/>
    <n v="3.33"/>
    <n v="0.53"/>
    <n v="10.3"/>
    <n v="6"/>
    <x v="0"/>
  </r>
  <r>
    <n v="9.1999999999999993"/>
    <n v="0.52"/>
    <n v="1"/>
    <n v="3.4"/>
    <n v="0.61"/>
    <n v="32"/>
    <n v="69"/>
    <n v="0.99960000000000004"/>
    <n v="2.74"/>
    <n v="2"/>
    <n v="9.4"/>
    <n v="4"/>
    <x v="2"/>
  </r>
  <r>
    <n v="7.5"/>
    <n v="0.6"/>
    <n v="0.03"/>
    <n v="1.8"/>
    <n v="9.5000000000000001E-2"/>
    <n v="25"/>
    <n v="99"/>
    <n v="0.995"/>
    <n v="3.35"/>
    <n v="0.54"/>
    <n v="10.1"/>
    <n v="5"/>
    <x v="0"/>
  </r>
  <r>
    <n v="7.5"/>
    <n v="0.6"/>
    <n v="0.03"/>
    <n v="1.8"/>
    <n v="9.5000000000000001E-2"/>
    <n v="25"/>
    <n v="99"/>
    <n v="0.995"/>
    <n v="3.35"/>
    <n v="0.54"/>
    <n v="10.1"/>
    <n v="5"/>
    <x v="0"/>
  </r>
  <r>
    <n v="7.1"/>
    <n v="0.43"/>
    <n v="0.42"/>
    <n v="5.5"/>
    <n v="7.0000000000000007E-2"/>
    <n v="29"/>
    <n v="129"/>
    <n v="0.99729999999999996"/>
    <n v="3.42"/>
    <n v="0.72"/>
    <n v="10.5"/>
    <n v="5"/>
    <x v="0"/>
  </r>
  <r>
    <n v="7.1"/>
    <n v="0.43"/>
    <n v="0.42"/>
    <n v="5.5"/>
    <n v="7.0999999999999994E-2"/>
    <n v="28"/>
    <n v="128"/>
    <n v="0.99729999999999996"/>
    <n v="3.42"/>
    <n v="0.71"/>
    <n v="10.5"/>
    <n v="5"/>
    <x v="0"/>
  </r>
  <r>
    <n v="7.1"/>
    <n v="0.43"/>
    <n v="0.42"/>
    <n v="5.5"/>
    <n v="7.0000000000000007E-2"/>
    <n v="29"/>
    <n v="129"/>
    <n v="0.99729999999999996"/>
    <n v="3.42"/>
    <n v="0.72"/>
    <n v="10.5"/>
    <n v="5"/>
    <x v="0"/>
  </r>
  <r>
    <n v="7.1"/>
    <n v="0.43"/>
    <n v="0.42"/>
    <n v="5.5"/>
    <n v="7.0999999999999994E-2"/>
    <n v="28"/>
    <n v="128"/>
    <n v="0.99729999999999996"/>
    <n v="3.42"/>
    <n v="0.71"/>
    <n v="10.5"/>
    <n v="5"/>
    <x v="0"/>
  </r>
  <r>
    <n v="7.1"/>
    <n v="0.68"/>
    <n v="0"/>
    <n v="2.2000000000000002"/>
    <n v="7.2999999999999995E-2"/>
    <n v="12"/>
    <n v="22"/>
    <n v="0.99690000000000001"/>
    <n v="3.48"/>
    <n v="0.5"/>
    <n v="9.3000000000000007"/>
    <n v="5"/>
    <x v="0"/>
  </r>
  <r>
    <n v="6.8"/>
    <n v="0.6"/>
    <n v="0.18"/>
    <n v="1.9"/>
    <n v="7.9000000000000001E-2"/>
    <n v="18"/>
    <n v="86"/>
    <n v="0.99680000000000002"/>
    <n v="3.59"/>
    <n v="0.56999999999999995"/>
    <n v="9.3000000000000007"/>
    <n v="6"/>
    <x v="0"/>
  </r>
  <r>
    <n v="7.6"/>
    <n v="0.95"/>
    <n v="0.03"/>
    <n v="2"/>
    <n v="0.09"/>
    <n v="7"/>
    <n v="20"/>
    <n v="0.99590000000000001"/>
    <n v="3.2"/>
    <n v="0.56000000000000005"/>
    <n v="9.6"/>
    <n v="5"/>
    <x v="0"/>
  </r>
  <r>
    <n v="7.6"/>
    <n v="0.68"/>
    <n v="0.02"/>
    <n v="1.3"/>
    <n v="7.1999999999999995E-2"/>
    <n v="9"/>
    <n v="20"/>
    <n v="0.99650000000000005"/>
    <n v="3.17"/>
    <n v="1.08"/>
    <n v="9.1999999999999993"/>
    <n v="4"/>
    <x v="2"/>
  </r>
  <r>
    <n v="7.8"/>
    <n v="0.53"/>
    <n v="0.04"/>
    <n v="1.7"/>
    <n v="7.5999999999999998E-2"/>
    <n v="17"/>
    <n v="31"/>
    <n v="0.99639999999999995"/>
    <n v="3.33"/>
    <n v="0.56000000000000005"/>
    <n v="10"/>
    <n v="6"/>
    <x v="0"/>
  </r>
  <r>
    <n v="7.4"/>
    <n v="0.6"/>
    <n v="0.26"/>
    <n v="7.3"/>
    <n v="7.0000000000000007E-2"/>
    <n v="36"/>
    <n v="121"/>
    <n v="0.99819999999999998"/>
    <n v="3.37"/>
    <n v="0.49"/>
    <n v="9.4"/>
    <n v="5"/>
    <x v="0"/>
  </r>
  <r>
    <n v="7.3"/>
    <n v="0.59"/>
    <n v="0.26"/>
    <n v="7.2"/>
    <n v="7.0000000000000007E-2"/>
    <n v="35"/>
    <n v="121"/>
    <n v="0.99809999999999999"/>
    <n v="3.37"/>
    <n v="0.49"/>
    <n v="9.4"/>
    <n v="5"/>
    <x v="0"/>
  </r>
  <r>
    <n v="7.8"/>
    <n v="0.63"/>
    <n v="0.48"/>
    <n v="1.7"/>
    <n v="0.1"/>
    <n v="14"/>
    <n v="96"/>
    <n v="0.99609999999999999"/>
    <n v="3.19"/>
    <n v="0.62"/>
    <n v="9.5"/>
    <n v="5"/>
    <x v="0"/>
  </r>
  <r>
    <n v="6.8"/>
    <n v="0.64"/>
    <n v="0.1"/>
    <n v="2.1"/>
    <n v="8.5000000000000006E-2"/>
    <n v="18"/>
    <n v="101"/>
    <n v="0.99560000000000004"/>
    <n v="3.34"/>
    <n v="0.52"/>
    <n v="10.199999999999999"/>
    <n v="5"/>
    <x v="0"/>
  </r>
  <r>
    <n v="7.3"/>
    <n v="0.55000000000000004"/>
    <n v="0.03"/>
    <n v="1.6"/>
    <n v="7.1999999999999995E-2"/>
    <n v="17"/>
    <n v="42"/>
    <n v="0.99560000000000004"/>
    <n v="3.37"/>
    <n v="0.48"/>
    <n v="9"/>
    <n v="4"/>
    <x v="2"/>
  </r>
  <r>
    <n v="6.8"/>
    <n v="0.63"/>
    <n v="7.0000000000000007E-2"/>
    <n v="2.1"/>
    <n v="8.8999999999999996E-2"/>
    <n v="11"/>
    <n v="44"/>
    <n v="0.99529999999999996"/>
    <n v="3.47"/>
    <n v="0.55000000000000004"/>
    <n v="10.4"/>
    <n v="6"/>
    <x v="0"/>
  </r>
  <r>
    <n v="7.5"/>
    <n v="0.70499999999999996"/>
    <n v="0.24"/>
    <n v="1.8"/>
    <n v="0.36"/>
    <n v="15"/>
    <n v="63"/>
    <n v="0.99639999999999995"/>
    <n v="3"/>
    <n v="1.59"/>
    <n v="9.5"/>
    <n v="5"/>
    <x v="0"/>
  </r>
  <r>
    <n v="7.9"/>
    <n v="0.88500000000000001"/>
    <n v="0.03"/>
    <n v="1.8"/>
    <n v="5.8000000000000003E-2"/>
    <n v="4"/>
    <n v="8"/>
    <n v="0.99719999999999998"/>
    <n v="3.36"/>
    <n v="0.33"/>
    <n v="9.1"/>
    <n v="4"/>
    <x v="2"/>
  </r>
  <r>
    <n v="8"/>
    <n v="0.42"/>
    <n v="0.17"/>
    <n v="2"/>
    <n v="7.2999999999999995E-2"/>
    <n v="6"/>
    <n v="18"/>
    <n v="0.99719999999999998"/>
    <n v="3.29"/>
    <n v="0.61"/>
    <n v="9.1999999999999993"/>
    <n v="6"/>
    <x v="0"/>
  </r>
  <r>
    <n v="8"/>
    <n v="0.42"/>
    <n v="0.17"/>
    <n v="2"/>
    <n v="7.2999999999999995E-2"/>
    <n v="6"/>
    <n v="18"/>
    <n v="0.99719999999999998"/>
    <n v="3.29"/>
    <n v="0.61"/>
    <n v="9.1999999999999993"/>
    <n v="6"/>
    <x v="0"/>
  </r>
  <r>
    <n v="7.4"/>
    <n v="0.62"/>
    <n v="0.05"/>
    <n v="1.9"/>
    <n v="6.8000000000000005E-2"/>
    <n v="24"/>
    <n v="42"/>
    <n v="0.99609999999999999"/>
    <n v="3.42"/>
    <n v="0.56999999999999995"/>
    <n v="11.5"/>
    <n v="6"/>
    <x v="0"/>
  </r>
  <r>
    <n v="7.3"/>
    <n v="0.38"/>
    <n v="0.21"/>
    <n v="2"/>
    <n v="0.08"/>
    <n v="7"/>
    <n v="35"/>
    <n v="0.99609999999999999"/>
    <n v="3.33"/>
    <n v="0.47"/>
    <n v="9.5"/>
    <n v="5"/>
    <x v="0"/>
  </r>
  <r>
    <n v="6.9"/>
    <n v="0.5"/>
    <n v="0.04"/>
    <n v="1.5"/>
    <n v="8.5000000000000006E-2"/>
    <n v="19"/>
    <n v="49"/>
    <n v="0.99580000000000002"/>
    <n v="3.35"/>
    <n v="0.78"/>
    <n v="9.5"/>
    <n v="5"/>
    <x v="0"/>
  </r>
  <r>
    <n v="7.3"/>
    <n v="0.38"/>
    <n v="0.21"/>
    <n v="2"/>
    <n v="0.08"/>
    <n v="7"/>
    <n v="35"/>
    <n v="0.99609999999999999"/>
    <n v="3.33"/>
    <n v="0.47"/>
    <n v="9.5"/>
    <n v="5"/>
    <x v="0"/>
  </r>
  <r>
    <n v="7.5"/>
    <n v="0.52"/>
    <n v="0.42"/>
    <n v="2.2999999999999998"/>
    <n v="8.6999999999999994E-2"/>
    <n v="8"/>
    <n v="38"/>
    <n v="0.99719999999999998"/>
    <n v="3.58"/>
    <n v="0.61"/>
    <n v="10.5"/>
    <n v="6"/>
    <x v="0"/>
  </r>
  <r>
    <n v="7"/>
    <n v="0.80500000000000005"/>
    <n v="0"/>
    <n v="2.5"/>
    <n v="6.8000000000000005E-2"/>
    <n v="7"/>
    <n v="20"/>
    <n v="0.99690000000000001"/>
    <n v="3.48"/>
    <n v="0.56000000000000005"/>
    <n v="9.6"/>
    <n v="5"/>
    <x v="0"/>
  </r>
  <r>
    <n v="8.8000000000000007"/>
    <n v="0.61"/>
    <n v="0.14000000000000001"/>
    <n v="2.4"/>
    <n v="6.7000000000000004E-2"/>
    <n v="10"/>
    <n v="42"/>
    <n v="0.99690000000000001"/>
    <n v="3.19"/>
    <n v="0.59"/>
    <n v="9.5"/>
    <n v="5"/>
    <x v="0"/>
  </r>
  <r>
    <n v="8.8000000000000007"/>
    <n v="0.61"/>
    <n v="0.14000000000000001"/>
    <n v="2.4"/>
    <n v="6.7000000000000004E-2"/>
    <n v="10"/>
    <n v="42"/>
    <n v="0.99690000000000001"/>
    <n v="3.19"/>
    <n v="0.59"/>
    <n v="9.5"/>
    <n v="5"/>
    <x v="0"/>
  </r>
  <r>
    <n v="8.9"/>
    <n v="0.61"/>
    <n v="0.49"/>
    <n v="2"/>
    <n v="0.27"/>
    <n v="23"/>
    <n v="110"/>
    <n v="0.99719999999999998"/>
    <n v="3.12"/>
    <n v="1.02"/>
    <n v="9.3000000000000007"/>
    <n v="5"/>
    <x v="0"/>
  </r>
  <r>
    <n v="7.2"/>
    <n v="0.73"/>
    <n v="0.02"/>
    <n v="2.5"/>
    <n v="7.5999999999999998E-2"/>
    <n v="16"/>
    <n v="42"/>
    <n v="0.99719999999999998"/>
    <n v="3.44"/>
    <n v="0.52"/>
    <n v="9.3000000000000007"/>
    <n v="5"/>
    <x v="0"/>
  </r>
  <r>
    <n v="6.8"/>
    <n v="0.61"/>
    <n v="0.2"/>
    <n v="1.8"/>
    <n v="7.6999999999999999E-2"/>
    <n v="11"/>
    <n v="65"/>
    <n v="0.99709999999999999"/>
    <n v="3.54"/>
    <n v="0.57999999999999996"/>
    <n v="9.3000000000000007"/>
    <n v="5"/>
    <x v="0"/>
  </r>
  <r>
    <n v="6.7"/>
    <n v="0.62"/>
    <n v="0.21"/>
    <n v="1.9"/>
    <n v="7.9000000000000001E-2"/>
    <n v="8"/>
    <n v="62"/>
    <n v="0.997"/>
    <n v="3.52"/>
    <n v="0.57999999999999996"/>
    <n v="9.3000000000000007"/>
    <n v="6"/>
    <x v="0"/>
  </r>
  <r>
    <n v="8.9"/>
    <n v="0.31"/>
    <n v="0.56999999999999995"/>
    <n v="2"/>
    <n v="0.111"/>
    <n v="26"/>
    <n v="85"/>
    <n v="0.99709999999999999"/>
    <n v="3.26"/>
    <n v="0.53"/>
    <n v="9.6999999999999993"/>
    <n v="5"/>
    <x v="0"/>
  </r>
  <r>
    <n v="7.4"/>
    <n v="0.39"/>
    <n v="0.48"/>
    <n v="2"/>
    <n v="8.2000000000000003E-2"/>
    <n v="14"/>
    <n v="67"/>
    <n v="0.99719999999999998"/>
    <n v="3.34"/>
    <n v="0.55000000000000004"/>
    <n v="9.1999999999999993"/>
    <n v="5"/>
    <x v="0"/>
  </r>
  <r>
    <n v="7.7"/>
    <n v="0.70499999999999996"/>
    <n v="0.1"/>
    <n v="2.6"/>
    <n v="8.4000000000000005E-2"/>
    <n v="9"/>
    <n v="26"/>
    <n v="0.99760000000000004"/>
    <n v="3.39"/>
    <n v="0.49"/>
    <n v="9.6999999999999993"/>
    <n v="5"/>
    <x v="0"/>
  </r>
  <r>
    <n v="7.9"/>
    <n v="0.5"/>
    <n v="0.33"/>
    <n v="2"/>
    <n v="8.4000000000000005E-2"/>
    <n v="15"/>
    <n v="143"/>
    <n v="0.99680000000000002"/>
    <n v="3.2"/>
    <n v="0.55000000000000004"/>
    <n v="9.5"/>
    <n v="5"/>
    <x v="0"/>
  </r>
  <r>
    <n v="7.9"/>
    <n v="0.49"/>
    <n v="0.32"/>
    <n v="1.9"/>
    <n v="8.2000000000000003E-2"/>
    <n v="17"/>
    <n v="144"/>
    <n v="0.99680000000000002"/>
    <n v="3.2"/>
    <n v="0.55000000000000004"/>
    <n v="9.5"/>
    <n v="5"/>
    <x v="0"/>
  </r>
  <r>
    <n v="8.1999999999999993"/>
    <n v="0.5"/>
    <n v="0.35"/>
    <n v="2.9"/>
    <n v="7.6999999999999999E-2"/>
    <n v="21"/>
    <n v="127"/>
    <n v="0.99760000000000004"/>
    <n v="3.23"/>
    <n v="0.62"/>
    <n v="9.4"/>
    <n v="5"/>
    <x v="0"/>
  </r>
  <r>
    <n v="6.4"/>
    <n v="0.37"/>
    <n v="0.25"/>
    <n v="1.9"/>
    <n v="7.3999999999999996E-2"/>
    <n v="21"/>
    <n v="49"/>
    <n v="0.99739999999999995"/>
    <n v="3.57"/>
    <n v="0.62"/>
    <n v="9.8000000000000007"/>
    <n v="6"/>
    <x v="0"/>
  </r>
  <r>
    <n v="6.8"/>
    <n v="0.63"/>
    <n v="0.12"/>
    <n v="3.8"/>
    <n v="9.9000000000000005E-2"/>
    <n v="16"/>
    <n v="126"/>
    <n v="0.99690000000000001"/>
    <n v="3.28"/>
    <n v="0.61"/>
    <n v="9.5"/>
    <n v="5"/>
    <x v="0"/>
  </r>
  <r>
    <n v="7.6"/>
    <n v="0.55000000000000004"/>
    <n v="0.21"/>
    <n v="2.2000000000000002"/>
    <n v="7.0999999999999994E-2"/>
    <n v="7"/>
    <n v="28"/>
    <n v="0.99639999999999995"/>
    <n v="3.28"/>
    <n v="0.55000000000000004"/>
    <n v="9.6999999999999993"/>
    <n v="5"/>
    <x v="0"/>
  </r>
  <r>
    <n v="7.6"/>
    <n v="0.55000000000000004"/>
    <n v="0.21"/>
    <n v="2.2000000000000002"/>
    <n v="7.0999999999999994E-2"/>
    <n v="7"/>
    <n v="28"/>
    <n v="0.99639999999999995"/>
    <n v="3.28"/>
    <n v="0.55000000000000004"/>
    <n v="9.6999999999999993"/>
    <n v="5"/>
    <x v="0"/>
  </r>
  <r>
    <n v="7.8"/>
    <n v="0.59"/>
    <n v="0.33"/>
    <n v="2"/>
    <n v="7.3999999999999996E-2"/>
    <n v="24"/>
    <n v="120"/>
    <n v="0.99680000000000002"/>
    <n v="3.25"/>
    <n v="0.54"/>
    <n v="9.4"/>
    <n v="5"/>
    <x v="0"/>
  </r>
  <r>
    <n v="7.3"/>
    <n v="0.57999999999999996"/>
    <n v="0.3"/>
    <n v="2.4"/>
    <n v="7.3999999999999996E-2"/>
    <n v="15"/>
    <n v="55"/>
    <n v="0.99680000000000002"/>
    <n v="3.46"/>
    <n v="0.59"/>
    <n v="10.199999999999999"/>
    <n v="5"/>
    <x v="0"/>
  </r>
  <r>
    <n v="11.5"/>
    <n v="0.3"/>
    <n v="0.6"/>
    <n v="2"/>
    <n v="6.7000000000000004E-2"/>
    <n v="12"/>
    <n v="27"/>
    <n v="0.99809999999999999"/>
    <n v="3.11"/>
    <n v="0.97"/>
    <n v="10.1"/>
    <n v="6"/>
    <x v="0"/>
  </r>
  <r>
    <n v="5.4"/>
    <n v="0.83499999999999996"/>
    <n v="0.08"/>
    <n v="1.2"/>
    <n v="4.5999999999999999E-2"/>
    <n v="13"/>
    <n v="93"/>
    <n v="0.99239999999999995"/>
    <n v="3.57"/>
    <n v="0.85"/>
    <n v="13"/>
    <n v="7"/>
    <x v="1"/>
  </r>
  <r>
    <n v="6.9"/>
    <n v="1.0900000000000001"/>
    <n v="0.06"/>
    <n v="2.1"/>
    <n v="6.0999999999999999E-2"/>
    <n v="12"/>
    <n v="31"/>
    <n v="0.99480000000000002"/>
    <n v="3.51"/>
    <n v="0.43"/>
    <n v="11.4"/>
    <n v="4"/>
    <x v="2"/>
  </r>
  <r>
    <n v="9.6"/>
    <n v="0.32"/>
    <n v="0.47"/>
    <n v="1.4"/>
    <n v="5.6000000000000001E-2"/>
    <n v="9"/>
    <n v="24"/>
    <n v="0.99695"/>
    <n v="3.22"/>
    <n v="0.82"/>
    <n v="10.3"/>
    <n v="7"/>
    <x v="1"/>
  </r>
  <r>
    <n v="8.8000000000000007"/>
    <n v="0.37"/>
    <n v="0.48"/>
    <n v="2.1"/>
    <n v="9.7000000000000003E-2"/>
    <n v="39"/>
    <n v="145"/>
    <n v="0.99750000000000005"/>
    <n v="3.04"/>
    <n v="1.03"/>
    <n v="9.3000000000000007"/>
    <n v="5"/>
    <x v="0"/>
  </r>
  <r>
    <n v="6.8"/>
    <n v="0.5"/>
    <n v="0.11"/>
    <n v="1.5"/>
    <n v="7.4999999999999997E-2"/>
    <n v="16"/>
    <n v="49"/>
    <n v="0.99544999999999995"/>
    <n v="3.36"/>
    <n v="0.79"/>
    <n v="9.5"/>
    <n v="5"/>
    <x v="0"/>
  </r>
  <r>
    <n v="7"/>
    <n v="0.42"/>
    <n v="0.35"/>
    <n v="1.6"/>
    <n v="8.7999999999999995E-2"/>
    <n v="16"/>
    <n v="39"/>
    <n v="0.99609999999999999"/>
    <n v="3.34"/>
    <n v="0.55000000000000004"/>
    <n v="9.1999999999999993"/>
    <n v="5"/>
    <x v="0"/>
  </r>
  <r>
    <n v="7"/>
    <n v="0.43"/>
    <n v="0.36"/>
    <n v="1.6"/>
    <n v="8.8999999999999996E-2"/>
    <n v="14"/>
    <n v="37"/>
    <n v="0.99614999999999998"/>
    <n v="3.34"/>
    <n v="0.56000000000000005"/>
    <n v="9.1999999999999993"/>
    <n v="6"/>
    <x v="0"/>
  </r>
  <r>
    <n v="12.8"/>
    <n v="0.3"/>
    <n v="0.74"/>
    <n v="2.6"/>
    <n v="9.5000000000000001E-2"/>
    <n v="9"/>
    <n v="28"/>
    <n v="0.99939999999999996"/>
    <n v="3.2"/>
    <n v="0.77"/>
    <n v="10.8"/>
    <n v="7"/>
    <x v="1"/>
  </r>
  <r>
    <n v="12.8"/>
    <n v="0.3"/>
    <n v="0.74"/>
    <n v="2.6"/>
    <n v="9.5000000000000001E-2"/>
    <n v="9"/>
    <n v="28"/>
    <n v="0.99939999999999996"/>
    <n v="3.2"/>
    <n v="0.77"/>
    <n v="10.8"/>
    <n v="7"/>
    <x v="1"/>
  </r>
  <r>
    <n v="7.8"/>
    <n v="0.56999999999999995"/>
    <n v="0.31"/>
    <n v="1.8"/>
    <n v="6.9000000000000006E-2"/>
    <n v="26"/>
    <n v="120"/>
    <n v="0.99624999999999997"/>
    <n v="3.29"/>
    <n v="0.53"/>
    <n v="9.3000000000000007"/>
    <n v="5"/>
    <x v="0"/>
  </r>
  <r>
    <n v="7.8"/>
    <n v="0.44"/>
    <n v="0.28000000000000003"/>
    <n v="2.7"/>
    <n v="0.1"/>
    <n v="18"/>
    <n v="95"/>
    <n v="0.99660000000000004"/>
    <n v="3.22"/>
    <n v="0.67"/>
    <n v="9.4"/>
    <n v="5"/>
    <x v="0"/>
  </r>
  <r>
    <n v="11"/>
    <n v="0.3"/>
    <n v="0.57999999999999996"/>
    <n v="2.1"/>
    <n v="5.3999999999999999E-2"/>
    <n v="7"/>
    <n v="19"/>
    <n v="0.998"/>
    <n v="3.31"/>
    <n v="0.88"/>
    <n v="10.5"/>
    <n v="7"/>
    <x v="1"/>
  </r>
  <r>
    <n v="9.6999999999999993"/>
    <n v="0.53"/>
    <n v="0.6"/>
    <n v="2"/>
    <n v="3.9E-2"/>
    <n v="5"/>
    <n v="19"/>
    <n v="0.99585000000000001"/>
    <n v="3.3"/>
    <n v="0.86"/>
    <n v="12.4"/>
    <n v="6"/>
    <x v="0"/>
  </r>
  <r>
    <n v="8"/>
    <n v="0.72499999999999998"/>
    <n v="0.24"/>
    <n v="2.8"/>
    <n v="8.3000000000000004E-2"/>
    <n v="10"/>
    <n v="62"/>
    <n v="0.99685000000000001"/>
    <n v="3.35"/>
    <n v="0.56000000000000005"/>
    <n v="10"/>
    <n v="6"/>
    <x v="0"/>
  </r>
  <r>
    <n v="11.6"/>
    <n v="0.44"/>
    <n v="0.64"/>
    <n v="2.1"/>
    <n v="5.8999999999999997E-2"/>
    <n v="5"/>
    <n v="15"/>
    <n v="0.998"/>
    <n v="3.21"/>
    <n v="0.67"/>
    <n v="10.199999999999999"/>
    <n v="6"/>
    <x v="0"/>
  </r>
  <r>
    <n v="8.1999999999999993"/>
    <n v="0.56999999999999995"/>
    <n v="0.26"/>
    <n v="2.2000000000000002"/>
    <n v="0.06"/>
    <n v="28"/>
    <n v="65"/>
    <n v="0.99590000000000001"/>
    <n v="3.3"/>
    <n v="0.43"/>
    <n v="10.1"/>
    <n v="5"/>
    <x v="0"/>
  </r>
  <r>
    <n v="7.8"/>
    <n v="0.73499999999999999"/>
    <n v="0.08"/>
    <n v="2.4"/>
    <n v="9.1999999999999998E-2"/>
    <n v="10"/>
    <n v="41"/>
    <n v="0.99739999999999995"/>
    <n v="3.24"/>
    <n v="0.71"/>
    <n v="9.8000000000000007"/>
    <n v="6"/>
    <x v="0"/>
  </r>
  <r>
    <n v="7"/>
    <n v="0.49"/>
    <n v="0.49"/>
    <n v="5.6"/>
    <n v="0.06"/>
    <n v="26"/>
    <n v="121"/>
    <n v="0.99739999999999995"/>
    <n v="3.34"/>
    <n v="0.76"/>
    <n v="10.5"/>
    <n v="5"/>
    <x v="0"/>
  </r>
  <r>
    <n v="8.6999999999999993"/>
    <n v="0.625"/>
    <n v="0.16"/>
    <n v="2"/>
    <n v="0.10100000000000001"/>
    <n v="13"/>
    <n v="49"/>
    <n v="0.99619999999999997"/>
    <n v="3.14"/>
    <n v="0.56999999999999995"/>
    <n v="11"/>
    <n v="5"/>
    <x v="0"/>
  </r>
  <r>
    <n v="8.1"/>
    <n v="0.72499999999999998"/>
    <n v="0.22"/>
    <n v="2.2000000000000002"/>
    <n v="7.1999999999999995E-2"/>
    <n v="11"/>
    <n v="41"/>
    <n v="0.99670000000000003"/>
    <n v="3.36"/>
    <n v="0.55000000000000004"/>
    <n v="9.1"/>
    <n v="5"/>
    <x v="0"/>
  </r>
  <r>
    <n v="7.5"/>
    <n v="0.49"/>
    <n v="0.19"/>
    <n v="1.9"/>
    <n v="7.5999999999999998E-2"/>
    <n v="10"/>
    <n v="44"/>
    <n v="0.99570000000000003"/>
    <n v="3.39"/>
    <n v="0.54"/>
    <n v="9.6999999999999993"/>
    <n v="5"/>
    <x v="0"/>
  </r>
  <r>
    <n v="7.8"/>
    <n v="0.53"/>
    <n v="0.33"/>
    <n v="2.4"/>
    <n v="0.08"/>
    <n v="24"/>
    <n v="144"/>
    <n v="0.99655000000000005"/>
    <n v="3.3"/>
    <n v="0.6"/>
    <n v="9.5"/>
    <n v="5"/>
    <x v="0"/>
  </r>
  <r>
    <n v="7.8"/>
    <n v="0.34"/>
    <n v="0.37"/>
    <n v="2"/>
    <n v="8.2000000000000003E-2"/>
    <n v="24"/>
    <n v="58"/>
    <n v="0.99639999999999995"/>
    <n v="3.34"/>
    <n v="0.59"/>
    <n v="9.4"/>
    <n v="6"/>
    <x v="0"/>
  </r>
  <r>
    <n v="7.4"/>
    <n v="0.53"/>
    <n v="0.26"/>
    <n v="2"/>
    <n v="0.10100000000000001"/>
    <n v="16"/>
    <n v="72"/>
    <n v="0.99570000000000003"/>
    <n v="3.15"/>
    <n v="0.56999999999999995"/>
    <n v="9.4"/>
    <n v="5"/>
    <x v="0"/>
  </r>
  <r>
    <n v="6.8"/>
    <n v="0.61"/>
    <n v="0.04"/>
    <n v="1.5"/>
    <n v="5.7000000000000002E-2"/>
    <n v="5"/>
    <n v="10"/>
    <n v="0.99524999999999997"/>
    <n v="3.42"/>
    <n v="0.6"/>
    <n v="9.5"/>
    <n v="5"/>
    <x v="0"/>
  </r>
  <r>
    <n v="8.6"/>
    <n v="0.64500000000000002"/>
    <n v="0.25"/>
    <n v="2"/>
    <n v="8.3000000000000004E-2"/>
    <n v="8"/>
    <n v="28"/>
    <n v="0.99814999999999998"/>
    <n v="3.28"/>
    <n v="0.6"/>
    <n v="10"/>
    <n v="6"/>
    <x v="0"/>
  </r>
  <r>
    <n v="8.4"/>
    <n v="0.63500000000000001"/>
    <n v="0.36"/>
    <n v="2"/>
    <n v="8.8999999999999996E-2"/>
    <n v="15"/>
    <n v="55"/>
    <n v="0.99744999999999995"/>
    <n v="3.31"/>
    <n v="0.56999999999999995"/>
    <n v="10.4"/>
    <n v="4"/>
    <x v="2"/>
  </r>
  <r>
    <n v="7.7"/>
    <n v="0.43"/>
    <n v="0.25"/>
    <n v="2.6"/>
    <n v="7.2999999999999995E-2"/>
    <n v="29"/>
    <n v="63"/>
    <n v="0.99614999999999998"/>
    <n v="3.37"/>
    <n v="0.57999999999999996"/>
    <n v="10.5"/>
    <n v="6"/>
    <x v="0"/>
  </r>
  <r>
    <n v="8.9"/>
    <n v="0.59"/>
    <n v="0.5"/>
    <n v="2"/>
    <n v="0.33700000000000002"/>
    <n v="27"/>
    <n v="81"/>
    <n v="0.99639999999999995"/>
    <n v="3.04"/>
    <n v="1.61"/>
    <n v="9.5"/>
    <n v="6"/>
    <x v="0"/>
  </r>
  <r>
    <n v="9"/>
    <n v="0.82"/>
    <n v="0.14000000000000001"/>
    <n v="2.6"/>
    <n v="8.8999999999999996E-2"/>
    <n v="9"/>
    <n v="23"/>
    <n v="0.99839999999999995"/>
    <n v="3.39"/>
    <n v="0.63"/>
    <n v="9.8000000000000007"/>
    <n v="5"/>
    <x v="0"/>
  </r>
  <r>
    <n v="7.7"/>
    <n v="0.43"/>
    <n v="0.25"/>
    <n v="2.6"/>
    <n v="7.2999999999999995E-2"/>
    <n v="29"/>
    <n v="63"/>
    <n v="0.99614999999999998"/>
    <n v="3.37"/>
    <n v="0.57999999999999996"/>
    <n v="10.5"/>
    <n v="6"/>
    <x v="0"/>
  </r>
  <r>
    <n v="6.9"/>
    <n v="0.52"/>
    <n v="0.25"/>
    <n v="2.6"/>
    <n v="8.1000000000000003E-2"/>
    <n v="10"/>
    <n v="37"/>
    <n v="0.99685000000000001"/>
    <n v="3.46"/>
    <n v="0.5"/>
    <n v="11"/>
    <n v="5"/>
    <x v="0"/>
  </r>
  <r>
    <n v="5.2"/>
    <n v="0.48"/>
    <n v="0.04"/>
    <n v="1.6"/>
    <n v="5.3999999999999999E-2"/>
    <n v="19"/>
    <n v="106"/>
    <n v="0.99270000000000003"/>
    <n v="3.54"/>
    <n v="0.62"/>
    <n v="12.2"/>
    <n v="7"/>
    <x v="1"/>
  </r>
  <r>
    <n v="8"/>
    <n v="0.38"/>
    <n v="0.06"/>
    <n v="1.8"/>
    <n v="7.8E-2"/>
    <n v="12"/>
    <n v="49"/>
    <n v="0.99624999999999997"/>
    <n v="3.37"/>
    <n v="0.52"/>
    <n v="9.9"/>
    <n v="6"/>
    <x v="0"/>
  </r>
  <r>
    <n v="8.5"/>
    <n v="0.37"/>
    <n v="0.2"/>
    <n v="2.8"/>
    <n v="0.09"/>
    <n v="18"/>
    <n v="58"/>
    <n v="0.998"/>
    <n v="3.34"/>
    <n v="0.7"/>
    <n v="9.6"/>
    <n v="6"/>
    <x v="0"/>
  </r>
  <r>
    <n v="6.9"/>
    <n v="0.52"/>
    <n v="0.25"/>
    <n v="2.6"/>
    <n v="8.1000000000000003E-2"/>
    <n v="10"/>
    <n v="37"/>
    <n v="0.99685000000000001"/>
    <n v="3.46"/>
    <n v="0.5"/>
    <n v="11"/>
    <n v="5"/>
    <x v="0"/>
  </r>
  <r>
    <n v="8.1999999999999993"/>
    <n v="1"/>
    <n v="0.09"/>
    <n v="2.2999999999999998"/>
    <n v="6.5000000000000002E-2"/>
    <n v="7"/>
    <n v="37"/>
    <n v="0.99685000000000001"/>
    <n v="3.32"/>
    <n v="0.55000000000000004"/>
    <n v="9"/>
    <n v="6"/>
    <x v="0"/>
  </r>
  <r>
    <n v="7.2"/>
    <n v="0.63"/>
    <n v="0"/>
    <n v="1.9"/>
    <n v="9.7000000000000003E-2"/>
    <n v="14"/>
    <n v="38"/>
    <n v="0.99675000000000002"/>
    <n v="3.37"/>
    <n v="0.57999999999999996"/>
    <n v="9"/>
    <n v="6"/>
    <x v="0"/>
  </r>
  <r>
    <n v="7.2"/>
    <n v="0.63"/>
    <n v="0"/>
    <n v="1.9"/>
    <n v="9.7000000000000003E-2"/>
    <n v="14"/>
    <n v="38"/>
    <n v="0.99675000000000002"/>
    <n v="3.37"/>
    <n v="0.57999999999999996"/>
    <n v="9"/>
    <n v="6"/>
    <x v="0"/>
  </r>
  <r>
    <n v="7.2"/>
    <n v="0.64500000000000002"/>
    <n v="0"/>
    <n v="1.9"/>
    <n v="9.7000000000000003E-2"/>
    <n v="15"/>
    <n v="39"/>
    <n v="0.99675000000000002"/>
    <n v="3.37"/>
    <n v="0.57999999999999996"/>
    <n v="9.1999999999999993"/>
    <n v="6"/>
    <x v="0"/>
  </r>
  <r>
    <n v="7.2"/>
    <n v="0.63"/>
    <n v="0"/>
    <n v="1.9"/>
    <n v="9.7000000000000003E-2"/>
    <n v="14"/>
    <n v="38"/>
    <n v="0.99675000000000002"/>
    <n v="3.37"/>
    <n v="0.57999999999999996"/>
    <n v="9"/>
    <n v="6"/>
    <x v="0"/>
  </r>
  <r>
    <n v="8.1999999999999993"/>
    <n v="1"/>
    <n v="0.09"/>
    <n v="2.2999999999999998"/>
    <n v="6.5000000000000002E-2"/>
    <n v="7"/>
    <n v="37"/>
    <n v="0.99685000000000001"/>
    <n v="3.32"/>
    <n v="0.55000000000000004"/>
    <n v="9"/>
    <n v="6"/>
    <x v="0"/>
  </r>
  <r>
    <n v="8.9"/>
    <n v="0.63500000000000001"/>
    <n v="0.37"/>
    <n v="1.7"/>
    <n v="0.26300000000000001"/>
    <n v="5"/>
    <n v="62"/>
    <n v="0.99709999999999999"/>
    <n v="3"/>
    <n v="1.0900000000000001"/>
    <n v="9.3000000000000007"/>
    <n v="5"/>
    <x v="0"/>
  </r>
  <r>
    <n v="12"/>
    <n v="0.38"/>
    <n v="0.56000000000000005"/>
    <n v="2.1"/>
    <n v="9.2999999999999999E-2"/>
    <n v="6"/>
    <n v="24"/>
    <n v="0.99924999999999997"/>
    <n v="3.14"/>
    <n v="0.71"/>
    <n v="10.9"/>
    <n v="6"/>
    <x v="0"/>
  </r>
  <r>
    <n v="7.7"/>
    <n v="0.57999999999999996"/>
    <n v="0.1"/>
    <n v="1.8"/>
    <n v="0.10199999999999999"/>
    <n v="28"/>
    <n v="109"/>
    <n v="0.99565000000000003"/>
    <n v="3.08"/>
    <n v="0.49"/>
    <n v="9.8000000000000007"/>
    <n v="6"/>
    <x v="0"/>
  </r>
  <r>
    <n v="15"/>
    <n v="0.21"/>
    <n v="0.44"/>
    <n v="2.2000000000000002"/>
    <n v="7.4999999999999997E-2"/>
    <n v="10"/>
    <n v="24"/>
    <n v="1.0000500000000001"/>
    <n v="3.07"/>
    <n v="0.84"/>
    <n v="9.1999999999999993"/>
    <n v="7"/>
    <x v="1"/>
  </r>
  <r>
    <n v="15"/>
    <n v="0.21"/>
    <n v="0.44"/>
    <n v="2.2000000000000002"/>
    <n v="7.4999999999999997E-2"/>
    <n v="10"/>
    <n v="24"/>
    <n v="1.0000500000000001"/>
    <n v="3.07"/>
    <n v="0.84"/>
    <n v="9.1999999999999993"/>
    <n v="7"/>
    <x v="1"/>
  </r>
  <r>
    <n v="7.3"/>
    <n v="0.66"/>
    <n v="0"/>
    <n v="2"/>
    <n v="8.4000000000000005E-2"/>
    <n v="6"/>
    <n v="23"/>
    <n v="0.99829999999999997"/>
    <n v="3.61"/>
    <n v="0.96"/>
    <n v="9.9"/>
    <n v="6"/>
    <x v="0"/>
  </r>
  <r>
    <n v="7.1"/>
    <n v="0.68"/>
    <n v="7.0000000000000007E-2"/>
    <n v="1.9"/>
    <n v="7.4999999999999997E-2"/>
    <n v="16"/>
    <n v="51"/>
    <n v="0.99685000000000001"/>
    <n v="3.38"/>
    <n v="0.52"/>
    <n v="9.5"/>
    <n v="5"/>
    <x v="0"/>
  </r>
  <r>
    <n v="8.1999999999999993"/>
    <n v="0.6"/>
    <n v="0.17"/>
    <n v="2.2999999999999998"/>
    <n v="7.1999999999999995E-2"/>
    <n v="11"/>
    <n v="73"/>
    <n v="0.99629999999999996"/>
    <n v="3.2"/>
    <n v="0.45"/>
    <n v="9.3000000000000007"/>
    <n v="5"/>
    <x v="0"/>
  </r>
  <r>
    <n v="7.7"/>
    <n v="0.53"/>
    <n v="0.06"/>
    <n v="1.7"/>
    <n v="7.3999999999999996E-2"/>
    <n v="9"/>
    <n v="39"/>
    <n v="0.99614999999999998"/>
    <n v="3.35"/>
    <n v="0.48"/>
    <n v="9.8000000000000007"/>
    <n v="6"/>
    <x v="0"/>
  </r>
  <r>
    <n v="7.3"/>
    <n v="0.66"/>
    <n v="0"/>
    <n v="2"/>
    <n v="8.4000000000000005E-2"/>
    <n v="6"/>
    <n v="23"/>
    <n v="0.99829999999999997"/>
    <n v="3.61"/>
    <n v="0.96"/>
    <n v="9.9"/>
    <n v="6"/>
    <x v="0"/>
  </r>
  <r>
    <n v="10.8"/>
    <n v="0.32"/>
    <n v="0.44"/>
    <n v="1.6"/>
    <n v="6.3E-2"/>
    <n v="16"/>
    <n v="37"/>
    <n v="0.99850000000000005"/>
    <n v="3.22"/>
    <n v="0.78"/>
    <n v="10"/>
    <n v="6"/>
    <x v="0"/>
  </r>
  <r>
    <n v="7.1"/>
    <n v="0.6"/>
    <n v="0"/>
    <n v="1.8"/>
    <n v="7.3999999999999996E-2"/>
    <n v="16"/>
    <n v="34"/>
    <n v="0.99719999999999998"/>
    <n v="3.47"/>
    <n v="0.7"/>
    <n v="9.9"/>
    <n v="6"/>
    <x v="0"/>
  </r>
  <r>
    <n v="11.1"/>
    <n v="0.35"/>
    <n v="0.48"/>
    <n v="3.1"/>
    <n v="0.09"/>
    <n v="5"/>
    <n v="21"/>
    <n v="0.99860000000000004"/>
    <n v="3.17"/>
    <n v="0.53"/>
    <n v="10.5"/>
    <n v="5"/>
    <x v="0"/>
  </r>
  <r>
    <n v="7.7"/>
    <n v="0.77500000000000002"/>
    <n v="0.42"/>
    <n v="1.9"/>
    <n v="9.1999999999999998E-2"/>
    <n v="8"/>
    <n v="86"/>
    <n v="0.99590000000000001"/>
    <n v="3.23"/>
    <n v="0.59"/>
    <n v="9.5"/>
    <n v="5"/>
    <x v="0"/>
  </r>
  <r>
    <n v="7.1"/>
    <n v="0.6"/>
    <n v="0"/>
    <n v="1.8"/>
    <n v="7.3999999999999996E-2"/>
    <n v="16"/>
    <n v="34"/>
    <n v="0.99719999999999998"/>
    <n v="3.47"/>
    <n v="0.7"/>
    <n v="9.9"/>
    <n v="6"/>
    <x v="0"/>
  </r>
  <r>
    <n v="8"/>
    <n v="0.56999999999999995"/>
    <n v="0.23"/>
    <n v="3.2"/>
    <n v="7.2999999999999995E-2"/>
    <n v="17"/>
    <n v="119"/>
    <n v="0.99675000000000002"/>
    <n v="3.26"/>
    <n v="0.56999999999999995"/>
    <n v="9.3000000000000007"/>
    <n v="5"/>
    <x v="0"/>
  </r>
  <r>
    <n v="9.4"/>
    <n v="0.34"/>
    <n v="0.37"/>
    <n v="2.2000000000000002"/>
    <n v="7.4999999999999997E-2"/>
    <n v="5"/>
    <n v="13"/>
    <n v="0.998"/>
    <n v="3.22"/>
    <n v="0.62"/>
    <n v="9.1999999999999993"/>
    <n v="5"/>
    <x v="0"/>
  </r>
  <r>
    <n v="6.6"/>
    <n v="0.69499999999999995"/>
    <n v="0"/>
    <n v="2.1"/>
    <n v="7.4999999999999997E-2"/>
    <n v="12"/>
    <n v="56"/>
    <n v="0.99680000000000002"/>
    <n v="3.49"/>
    <n v="0.67"/>
    <n v="9.1999999999999993"/>
    <n v="5"/>
    <x v="0"/>
  </r>
  <r>
    <n v="7.7"/>
    <n v="0.41"/>
    <n v="0.76"/>
    <n v="1.8"/>
    <n v="0.61099999999999999"/>
    <n v="8"/>
    <n v="45"/>
    <n v="0.99680000000000002"/>
    <n v="3.06"/>
    <n v="1.26"/>
    <n v="9.4"/>
    <n v="5"/>
    <x v="0"/>
  </r>
  <r>
    <n v="10"/>
    <n v="0.31"/>
    <n v="0.47"/>
    <n v="2.6"/>
    <n v="8.5000000000000006E-2"/>
    <n v="14"/>
    <n v="33"/>
    <n v="0.99965000000000004"/>
    <n v="3.36"/>
    <n v="0.8"/>
    <n v="10.5"/>
    <n v="7"/>
    <x v="1"/>
  </r>
  <r>
    <n v="7.9"/>
    <n v="0.33"/>
    <n v="0.23"/>
    <n v="1.7"/>
    <n v="7.6999999999999999E-2"/>
    <n v="18"/>
    <n v="45"/>
    <n v="0.99624999999999997"/>
    <n v="3.29"/>
    <n v="0.65"/>
    <n v="9.3000000000000007"/>
    <n v="5"/>
    <x v="0"/>
  </r>
  <r>
    <n v="7"/>
    <n v="0.97499999999999998"/>
    <n v="0.04"/>
    <n v="2"/>
    <n v="8.6999999999999994E-2"/>
    <n v="12"/>
    <n v="67"/>
    <n v="0.99565000000000003"/>
    <n v="3.35"/>
    <n v="0.6"/>
    <n v="9.4"/>
    <n v="4"/>
    <x v="2"/>
  </r>
  <r>
    <n v="8"/>
    <n v="0.52"/>
    <n v="0.03"/>
    <n v="1.7"/>
    <n v="7.0000000000000007E-2"/>
    <n v="10"/>
    <n v="35"/>
    <n v="0.99575000000000002"/>
    <n v="3.34"/>
    <n v="0.56999999999999995"/>
    <n v="10"/>
    <n v="5"/>
    <x v="0"/>
  </r>
  <r>
    <n v="7.9"/>
    <n v="0.37"/>
    <n v="0.23"/>
    <n v="1.8"/>
    <n v="7.6999999999999999E-2"/>
    <n v="23"/>
    <n v="49"/>
    <n v="0.99629999999999996"/>
    <n v="3.28"/>
    <n v="0.67"/>
    <n v="9.3000000000000007"/>
    <n v="5"/>
    <x v="0"/>
  </r>
  <r>
    <n v="12.5"/>
    <n v="0.56000000000000005"/>
    <n v="0.49"/>
    <n v="2.4"/>
    <n v="6.4000000000000001E-2"/>
    <n v="5"/>
    <n v="27"/>
    <n v="0.99990000000000001"/>
    <n v="3.08"/>
    <n v="0.87"/>
    <n v="10.9"/>
    <n v="5"/>
    <x v="0"/>
  </r>
  <r>
    <n v="11.8"/>
    <n v="0.26"/>
    <n v="0.52"/>
    <n v="1.8"/>
    <n v="7.0999999999999994E-2"/>
    <n v="6"/>
    <n v="10"/>
    <n v="0.99680000000000002"/>
    <n v="3.2"/>
    <n v="0.72"/>
    <n v="10.199999999999999"/>
    <n v="7"/>
    <x v="1"/>
  </r>
  <r>
    <n v="8.1"/>
    <n v="0.87"/>
    <n v="0"/>
    <n v="3.3"/>
    <n v="9.6000000000000002E-2"/>
    <n v="26"/>
    <n v="61"/>
    <n v="1.0002500000000001"/>
    <n v="3.6"/>
    <n v="0.72"/>
    <n v="9.8000000000000007"/>
    <n v="4"/>
    <x v="2"/>
  </r>
  <r>
    <n v="7.9"/>
    <n v="0.35"/>
    <n v="0.46"/>
    <n v="3.6"/>
    <n v="7.8E-2"/>
    <n v="15"/>
    <n v="37"/>
    <n v="0.99729999999999996"/>
    <n v="3.35"/>
    <n v="0.86"/>
    <n v="12.8"/>
    <n v="8"/>
    <x v="1"/>
  </r>
  <r>
    <n v="6.9"/>
    <n v="0.54"/>
    <n v="0.04"/>
    <n v="3"/>
    <n v="7.6999999999999999E-2"/>
    <n v="7"/>
    <n v="27"/>
    <n v="0.99870000000000003"/>
    <n v="3.69"/>
    <n v="0.91"/>
    <n v="9.4"/>
    <n v="6"/>
    <x v="0"/>
  </r>
  <r>
    <n v="11.5"/>
    <n v="0.18"/>
    <n v="0.51"/>
    <n v="4"/>
    <n v="0.104"/>
    <n v="4"/>
    <n v="23"/>
    <n v="0.99960000000000004"/>
    <n v="3.28"/>
    <n v="0.97"/>
    <n v="10.1"/>
    <n v="6"/>
    <x v="0"/>
  </r>
  <r>
    <n v="7.9"/>
    <n v="0.54500000000000004"/>
    <n v="0.06"/>
    <n v="4"/>
    <n v="8.6999999999999994E-2"/>
    <n v="27"/>
    <n v="61"/>
    <n v="0.99650000000000005"/>
    <n v="3.36"/>
    <n v="0.67"/>
    <n v="10.7"/>
    <n v="6"/>
    <x v="0"/>
  </r>
  <r>
    <n v="11.5"/>
    <n v="0.18"/>
    <n v="0.51"/>
    <n v="4"/>
    <n v="0.104"/>
    <n v="4"/>
    <n v="23"/>
    <n v="0.99960000000000004"/>
    <n v="3.28"/>
    <n v="0.97"/>
    <n v="10.1"/>
    <n v="6"/>
    <x v="0"/>
  </r>
  <r>
    <n v="10.9"/>
    <n v="0.37"/>
    <n v="0.57999999999999996"/>
    <n v="4"/>
    <n v="7.0999999999999994E-2"/>
    <n v="17"/>
    <n v="65"/>
    <n v="0.99934999999999996"/>
    <n v="3.22"/>
    <n v="0.78"/>
    <n v="10.1"/>
    <n v="5"/>
    <x v="0"/>
  </r>
  <r>
    <n v="8.4"/>
    <n v="0.71499999999999997"/>
    <n v="0.2"/>
    <n v="2.4"/>
    <n v="7.5999999999999998E-2"/>
    <n v="10"/>
    <n v="38"/>
    <n v="0.99734999999999996"/>
    <n v="3.31"/>
    <n v="0.64"/>
    <n v="9.4"/>
    <n v="5"/>
    <x v="0"/>
  </r>
  <r>
    <n v="7.5"/>
    <n v="0.65"/>
    <n v="0.18"/>
    <n v="7"/>
    <n v="8.7999999999999995E-2"/>
    <n v="27"/>
    <n v="94"/>
    <n v="0.99914999999999998"/>
    <n v="3.38"/>
    <n v="0.77"/>
    <n v="9.4"/>
    <n v="5"/>
    <x v="0"/>
  </r>
  <r>
    <n v="7.9"/>
    <n v="0.54500000000000004"/>
    <n v="0.06"/>
    <n v="4"/>
    <n v="8.6999999999999994E-2"/>
    <n v="27"/>
    <n v="61"/>
    <n v="0.99650000000000005"/>
    <n v="3.36"/>
    <n v="0.67"/>
    <n v="10.7"/>
    <n v="6"/>
    <x v="0"/>
  </r>
  <r>
    <n v="6.9"/>
    <n v="0.54"/>
    <n v="0.04"/>
    <n v="3"/>
    <n v="7.6999999999999999E-2"/>
    <n v="7"/>
    <n v="27"/>
    <n v="0.99870000000000003"/>
    <n v="3.69"/>
    <n v="0.91"/>
    <n v="9.4"/>
    <n v="6"/>
    <x v="0"/>
  </r>
  <r>
    <n v="11.5"/>
    <n v="0.18"/>
    <n v="0.51"/>
    <n v="4"/>
    <n v="0.104"/>
    <n v="4"/>
    <n v="23"/>
    <n v="0.99960000000000004"/>
    <n v="3.28"/>
    <n v="0.97"/>
    <n v="10.1"/>
    <n v="6"/>
    <x v="0"/>
  </r>
  <r>
    <n v="10.3"/>
    <n v="0.32"/>
    <n v="0.45"/>
    <n v="6.4"/>
    <n v="7.2999999999999995E-2"/>
    <n v="5"/>
    <n v="13"/>
    <n v="0.99760000000000004"/>
    <n v="3.23"/>
    <n v="0.82"/>
    <n v="12.6"/>
    <n v="8"/>
    <x v="1"/>
  </r>
  <r>
    <n v="8.9"/>
    <n v="0.4"/>
    <n v="0.32"/>
    <n v="5.6"/>
    <n v="8.6999999999999994E-2"/>
    <n v="10"/>
    <n v="47"/>
    <n v="0.99909999999999999"/>
    <n v="3.38"/>
    <n v="0.77"/>
    <n v="10.5"/>
    <n v="7"/>
    <x v="1"/>
  </r>
  <r>
    <n v="11.4"/>
    <n v="0.26"/>
    <n v="0.44"/>
    <n v="3.6"/>
    <n v="7.0999999999999994E-2"/>
    <n v="6"/>
    <n v="19"/>
    <n v="0.99860000000000004"/>
    <n v="3.12"/>
    <n v="0.82"/>
    <n v="9.3000000000000007"/>
    <n v="6"/>
    <x v="0"/>
  </r>
  <r>
    <n v="7.7"/>
    <n v="0.27"/>
    <n v="0.68"/>
    <n v="3.5"/>
    <n v="0.35799999999999998"/>
    <n v="5"/>
    <n v="10"/>
    <n v="0.99719999999999998"/>
    <n v="3.25"/>
    <n v="1.08"/>
    <n v="9.9"/>
    <n v="7"/>
    <x v="1"/>
  </r>
  <r>
    <n v="7.6"/>
    <n v="0.52"/>
    <n v="0.12"/>
    <n v="3"/>
    <n v="6.7000000000000004E-2"/>
    <n v="12"/>
    <n v="53"/>
    <n v="0.99709999999999999"/>
    <n v="3.36"/>
    <n v="0.56999999999999995"/>
    <n v="9.1"/>
    <n v="5"/>
    <x v="0"/>
  </r>
  <r>
    <n v="8.9"/>
    <n v="0.4"/>
    <n v="0.32"/>
    <n v="5.6"/>
    <n v="8.6999999999999994E-2"/>
    <n v="10"/>
    <n v="47"/>
    <n v="0.99909999999999999"/>
    <n v="3.38"/>
    <n v="0.77"/>
    <n v="10.5"/>
    <n v="7"/>
    <x v="1"/>
  </r>
  <r>
    <n v="9.9"/>
    <n v="0.59"/>
    <n v="7.0000000000000007E-2"/>
    <n v="3.4"/>
    <n v="0.10199999999999999"/>
    <n v="32"/>
    <n v="71"/>
    <n v="1.0001500000000001"/>
    <n v="3.31"/>
    <n v="0.71"/>
    <n v="9.8000000000000007"/>
    <n v="5"/>
    <x v="0"/>
  </r>
  <r>
    <n v="9.9"/>
    <n v="0.59"/>
    <n v="7.0000000000000007E-2"/>
    <n v="3.4"/>
    <n v="0.10199999999999999"/>
    <n v="32"/>
    <n v="71"/>
    <n v="1.0001500000000001"/>
    <n v="3.31"/>
    <n v="0.71"/>
    <n v="9.8000000000000007"/>
    <n v="5"/>
    <x v="0"/>
  </r>
  <r>
    <n v="12"/>
    <n v="0.45"/>
    <n v="0.55000000000000004"/>
    <n v="2"/>
    <n v="7.2999999999999995E-2"/>
    <n v="25"/>
    <n v="49"/>
    <n v="0.99970000000000003"/>
    <n v="3.1"/>
    <n v="0.76"/>
    <n v="10.3"/>
    <n v="6"/>
    <x v="0"/>
  </r>
  <r>
    <n v="7.5"/>
    <n v="0.4"/>
    <n v="0.12"/>
    <n v="3"/>
    <n v="9.1999999999999998E-2"/>
    <n v="29"/>
    <n v="53"/>
    <n v="0.99670000000000003"/>
    <n v="3.37"/>
    <n v="0.7"/>
    <n v="10.3"/>
    <n v="6"/>
    <x v="0"/>
  </r>
  <r>
    <n v="8.6999999999999993"/>
    <n v="0.52"/>
    <n v="0.09"/>
    <n v="2.5"/>
    <n v="9.0999999999999998E-2"/>
    <n v="20"/>
    <n v="49"/>
    <n v="0.99760000000000004"/>
    <n v="3.34"/>
    <n v="0.86"/>
    <n v="10.6"/>
    <n v="7"/>
    <x v="1"/>
  </r>
  <r>
    <n v="11.6"/>
    <n v="0.42"/>
    <n v="0.53"/>
    <n v="3.3"/>
    <n v="0.105"/>
    <n v="33"/>
    <n v="98"/>
    <n v="1.0009999999999999"/>
    <n v="3.2"/>
    <n v="0.95"/>
    <n v="9.1999999999999993"/>
    <n v="5"/>
    <x v="0"/>
  </r>
  <r>
    <n v="8.6999999999999993"/>
    <n v="0.52"/>
    <n v="0.09"/>
    <n v="2.5"/>
    <n v="9.0999999999999998E-2"/>
    <n v="20"/>
    <n v="49"/>
    <n v="0.99760000000000004"/>
    <n v="3.34"/>
    <n v="0.86"/>
    <n v="10.6"/>
    <n v="7"/>
    <x v="1"/>
  </r>
  <r>
    <n v="11"/>
    <n v="0.2"/>
    <n v="0.48"/>
    <n v="2"/>
    <n v="0.34300000000000003"/>
    <n v="6"/>
    <n v="18"/>
    <n v="0.99790000000000001"/>
    <n v="3.3"/>
    <n v="0.71"/>
    <n v="10.5"/>
    <n v="5"/>
    <x v="0"/>
  </r>
  <r>
    <n v="10.4"/>
    <n v="0.55000000000000004"/>
    <n v="0.23"/>
    <n v="2.7"/>
    <n v="9.0999999999999998E-2"/>
    <n v="18"/>
    <n v="48"/>
    <n v="0.99939999999999996"/>
    <n v="3.22"/>
    <n v="0.64"/>
    <n v="10.3"/>
    <n v="6"/>
    <x v="0"/>
  </r>
  <r>
    <n v="6.9"/>
    <n v="0.36"/>
    <n v="0.25"/>
    <n v="2.4"/>
    <n v="9.8000000000000004E-2"/>
    <n v="5"/>
    <n v="16"/>
    <n v="0.99639999999999995"/>
    <n v="3.41"/>
    <n v="0.6"/>
    <n v="10.1"/>
    <n v="6"/>
    <x v="0"/>
  </r>
  <r>
    <n v="13.3"/>
    <n v="0.34"/>
    <n v="0.52"/>
    <n v="3.2"/>
    <n v="9.4E-2"/>
    <n v="17"/>
    <n v="53"/>
    <n v="1.0014000000000001"/>
    <n v="3.05"/>
    <n v="0.81"/>
    <n v="9.5"/>
    <n v="6"/>
    <x v="0"/>
  </r>
  <r>
    <n v="10.8"/>
    <n v="0.5"/>
    <n v="0.46"/>
    <n v="2.5"/>
    <n v="7.2999999999999995E-2"/>
    <n v="5"/>
    <n v="27"/>
    <n v="1.0001"/>
    <n v="3.05"/>
    <n v="0.64"/>
    <n v="9.5"/>
    <n v="5"/>
    <x v="0"/>
  </r>
  <r>
    <n v="10.6"/>
    <n v="0.83"/>
    <n v="0.37"/>
    <n v="2.6"/>
    <n v="8.5999999999999993E-2"/>
    <n v="26"/>
    <n v="70"/>
    <n v="0.99809999999999999"/>
    <n v="3.16"/>
    <n v="0.52"/>
    <n v="9.9"/>
    <n v="5"/>
    <x v="0"/>
  </r>
  <r>
    <n v="7.1"/>
    <n v="0.63"/>
    <n v="0.06"/>
    <n v="2"/>
    <n v="8.3000000000000004E-2"/>
    <n v="8"/>
    <n v="29"/>
    <n v="0.99855000000000005"/>
    <n v="3.67"/>
    <n v="0.73"/>
    <n v="9.6"/>
    <n v="5"/>
    <x v="0"/>
  </r>
  <r>
    <n v="7.2"/>
    <n v="0.65"/>
    <n v="0.02"/>
    <n v="2.2999999999999998"/>
    <n v="9.4E-2"/>
    <n v="5"/>
    <n v="31"/>
    <n v="0.99929999999999997"/>
    <n v="3.67"/>
    <n v="0.8"/>
    <n v="9.6999999999999993"/>
    <n v="5"/>
    <x v="0"/>
  </r>
  <r>
    <n v="6.9"/>
    <n v="0.67"/>
    <n v="0.06"/>
    <n v="2.1"/>
    <n v="0.08"/>
    <n v="8"/>
    <n v="33"/>
    <n v="0.99844999999999995"/>
    <n v="3.68"/>
    <n v="0.71"/>
    <n v="9.6"/>
    <n v="5"/>
    <x v="0"/>
  </r>
  <r>
    <n v="7.5"/>
    <n v="0.53"/>
    <n v="0.06"/>
    <n v="2.6"/>
    <n v="8.5999999999999993E-2"/>
    <n v="20"/>
    <n v="44"/>
    <n v="0.99650000000000005"/>
    <n v="3.38"/>
    <n v="0.59"/>
    <n v="10.7"/>
    <n v="6"/>
    <x v="0"/>
  </r>
  <r>
    <n v="11.1"/>
    <n v="0.18"/>
    <n v="0.48"/>
    <n v="1.5"/>
    <n v="6.8000000000000005E-2"/>
    <n v="7"/>
    <n v="15"/>
    <n v="0.99729999999999996"/>
    <n v="3.22"/>
    <n v="0.64"/>
    <n v="10.1"/>
    <n v="6"/>
    <x v="0"/>
  </r>
  <r>
    <n v="8.3000000000000007"/>
    <n v="0.70499999999999996"/>
    <n v="0.12"/>
    <n v="2.6"/>
    <n v="9.1999999999999998E-2"/>
    <n v="12"/>
    <n v="28"/>
    <n v="0.99939999999999996"/>
    <n v="3.51"/>
    <n v="0.72"/>
    <n v="10"/>
    <n v="5"/>
    <x v="0"/>
  </r>
  <r>
    <n v="7.4"/>
    <n v="0.67"/>
    <n v="0.12"/>
    <n v="1.6"/>
    <n v="0.186"/>
    <n v="5"/>
    <n v="21"/>
    <n v="0.996"/>
    <n v="3.39"/>
    <n v="0.54"/>
    <n v="9.5"/>
    <n v="5"/>
    <x v="0"/>
  </r>
  <r>
    <n v="8.4"/>
    <n v="0.65"/>
    <n v="0.6"/>
    <n v="2.1"/>
    <n v="0.112"/>
    <n v="12"/>
    <n v="90"/>
    <n v="0.99729999999999996"/>
    <n v="3.2"/>
    <n v="0.52"/>
    <n v="9.1999999999999993"/>
    <n v="5"/>
    <x v="0"/>
  </r>
  <r>
    <n v="10.3"/>
    <n v="0.53"/>
    <n v="0.48"/>
    <n v="2.5"/>
    <n v="6.3E-2"/>
    <n v="6"/>
    <n v="25"/>
    <n v="0.99980000000000002"/>
    <n v="3.12"/>
    <n v="0.59"/>
    <n v="9.3000000000000007"/>
    <n v="6"/>
    <x v="0"/>
  </r>
  <r>
    <n v="7.6"/>
    <n v="0.62"/>
    <n v="0.32"/>
    <n v="2.2000000000000002"/>
    <n v="8.2000000000000003E-2"/>
    <n v="7"/>
    <n v="54"/>
    <n v="0.99660000000000004"/>
    <n v="3.36"/>
    <n v="0.52"/>
    <n v="9.4"/>
    <n v="5"/>
    <x v="0"/>
  </r>
  <r>
    <n v="10.3"/>
    <n v="0.41"/>
    <n v="0.42"/>
    <n v="2.4"/>
    <n v="0.21299999999999999"/>
    <n v="6"/>
    <n v="14"/>
    <n v="0.99939999999999996"/>
    <n v="3.19"/>
    <n v="0.62"/>
    <n v="9.5"/>
    <n v="6"/>
    <x v="0"/>
  </r>
  <r>
    <n v="10.3"/>
    <n v="0.43"/>
    <n v="0.44"/>
    <n v="2.4"/>
    <n v="0.214"/>
    <n v="5"/>
    <n v="12"/>
    <n v="0.99939999999999996"/>
    <n v="3.19"/>
    <n v="0.63"/>
    <n v="9.5"/>
    <n v="6"/>
    <x v="0"/>
  </r>
  <r>
    <n v="7.4"/>
    <n v="0.28999999999999998"/>
    <n v="0.38"/>
    <n v="1.7"/>
    <n v="6.2E-2"/>
    <n v="9"/>
    <n v="30"/>
    <n v="0.99680000000000002"/>
    <n v="3.41"/>
    <n v="0.53"/>
    <n v="9.5"/>
    <n v="6"/>
    <x v="0"/>
  </r>
  <r>
    <n v="10.3"/>
    <n v="0.53"/>
    <n v="0.48"/>
    <n v="2.5"/>
    <n v="6.3E-2"/>
    <n v="6"/>
    <n v="25"/>
    <n v="0.99980000000000002"/>
    <n v="3.12"/>
    <n v="0.59"/>
    <n v="9.3000000000000007"/>
    <n v="6"/>
    <x v="0"/>
  </r>
  <r>
    <n v="7.9"/>
    <n v="0.53"/>
    <n v="0.24"/>
    <n v="2"/>
    <n v="7.1999999999999995E-2"/>
    <n v="15"/>
    <n v="105"/>
    <n v="0.996"/>
    <n v="3.27"/>
    <n v="0.54"/>
    <n v="9.4"/>
    <n v="6"/>
    <x v="0"/>
  </r>
  <r>
    <n v="9"/>
    <n v="0.46"/>
    <n v="0.31"/>
    <n v="2.8"/>
    <n v="9.2999999999999999E-2"/>
    <n v="19"/>
    <n v="98"/>
    <n v="0.99814999999999998"/>
    <n v="3.32"/>
    <n v="0.63"/>
    <n v="9.5"/>
    <n v="6"/>
    <x v="0"/>
  </r>
  <r>
    <n v="8.6"/>
    <n v="0.47"/>
    <n v="0.3"/>
    <n v="3"/>
    <n v="7.5999999999999998E-2"/>
    <n v="30"/>
    <n v="135"/>
    <n v="0.99760000000000004"/>
    <n v="3.3"/>
    <n v="0.53"/>
    <n v="9.4"/>
    <n v="5"/>
    <x v="0"/>
  </r>
  <r>
    <n v="7.4"/>
    <n v="0.36"/>
    <n v="0.28999999999999998"/>
    <n v="2.6"/>
    <n v="8.6999999999999994E-2"/>
    <n v="26"/>
    <n v="72"/>
    <n v="0.99644999999999995"/>
    <n v="3.39"/>
    <n v="0.68"/>
    <n v="11"/>
    <n v="5"/>
    <x v="0"/>
  </r>
  <r>
    <n v="7.1"/>
    <n v="0.35"/>
    <n v="0.28999999999999998"/>
    <n v="2.5"/>
    <n v="9.6000000000000002E-2"/>
    <n v="20"/>
    <n v="53"/>
    <n v="0.99619999999999997"/>
    <n v="3.42"/>
    <n v="0.65"/>
    <n v="11"/>
    <n v="6"/>
    <x v="0"/>
  </r>
  <r>
    <n v="9.6"/>
    <n v="0.56000000000000005"/>
    <n v="0.23"/>
    <n v="3.4"/>
    <n v="0.10199999999999999"/>
    <n v="37"/>
    <n v="92"/>
    <n v="0.99960000000000004"/>
    <n v="3.3"/>
    <n v="0.65"/>
    <n v="10.1"/>
    <n v="5"/>
    <x v="0"/>
  </r>
  <r>
    <n v="9.6"/>
    <n v="0.77"/>
    <n v="0.12"/>
    <n v="2.9"/>
    <n v="8.2000000000000003E-2"/>
    <n v="30"/>
    <n v="74"/>
    <n v="0.99865000000000004"/>
    <n v="3.3"/>
    <n v="0.64"/>
    <n v="10.4"/>
    <n v="6"/>
    <x v="0"/>
  </r>
  <r>
    <n v="9.8000000000000007"/>
    <n v="0.66"/>
    <n v="0.39"/>
    <n v="3.2"/>
    <n v="8.3000000000000004E-2"/>
    <n v="21"/>
    <n v="59"/>
    <n v="0.99890000000000001"/>
    <n v="3.37"/>
    <n v="0.71"/>
    <n v="11.5"/>
    <n v="7"/>
    <x v="1"/>
  </r>
  <r>
    <n v="9.6"/>
    <n v="0.77"/>
    <n v="0.12"/>
    <n v="2.9"/>
    <n v="8.2000000000000003E-2"/>
    <n v="30"/>
    <n v="74"/>
    <n v="0.99865000000000004"/>
    <n v="3.3"/>
    <n v="0.64"/>
    <n v="10.4"/>
    <n v="6"/>
    <x v="0"/>
  </r>
  <r>
    <n v="9.8000000000000007"/>
    <n v="0.66"/>
    <n v="0.39"/>
    <n v="3.2"/>
    <n v="8.3000000000000004E-2"/>
    <n v="21"/>
    <n v="59"/>
    <n v="0.99890000000000001"/>
    <n v="3.37"/>
    <n v="0.71"/>
    <n v="11.5"/>
    <n v="7"/>
    <x v="1"/>
  </r>
  <r>
    <n v="9.3000000000000007"/>
    <n v="0.61"/>
    <n v="0.26"/>
    <n v="3.4"/>
    <n v="0.09"/>
    <n v="25"/>
    <n v="87"/>
    <n v="0.99975000000000003"/>
    <n v="3.24"/>
    <n v="0.62"/>
    <n v="9.6999999999999993"/>
    <n v="5"/>
    <x v="0"/>
  </r>
  <r>
    <n v="7.8"/>
    <n v="0.62"/>
    <n v="0.05"/>
    <n v="2.2999999999999998"/>
    <n v="7.9000000000000001E-2"/>
    <n v="6"/>
    <n v="18"/>
    <n v="0.99734999999999996"/>
    <n v="3.29"/>
    <n v="0.63"/>
    <n v="9.3000000000000007"/>
    <n v="5"/>
    <x v="0"/>
  </r>
  <r>
    <n v="10.3"/>
    <n v="0.59"/>
    <n v="0.42"/>
    <n v="2.8"/>
    <n v="0.09"/>
    <n v="35"/>
    <n v="73"/>
    <n v="0.999"/>
    <n v="3.28"/>
    <n v="0.7"/>
    <n v="9.5"/>
    <n v="6"/>
    <x v="0"/>
  </r>
  <r>
    <n v="10"/>
    <n v="0.49"/>
    <n v="0.2"/>
    <n v="11"/>
    <n v="7.0999999999999994E-2"/>
    <n v="13"/>
    <n v="50"/>
    <n v="1.0015000000000001"/>
    <n v="3.16"/>
    <n v="0.69"/>
    <n v="9.1999999999999993"/>
    <n v="6"/>
    <x v="0"/>
  </r>
  <r>
    <n v="10"/>
    <n v="0.49"/>
    <n v="0.2"/>
    <n v="11"/>
    <n v="7.0999999999999994E-2"/>
    <n v="13"/>
    <n v="50"/>
    <n v="1.0015000000000001"/>
    <n v="3.16"/>
    <n v="0.69"/>
    <n v="9.1999999999999993"/>
    <n v="6"/>
    <x v="0"/>
  </r>
  <r>
    <n v="11.6"/>
    <n v="0.53"/>
    <n v="0.66"/>
    <n v="3.65"/>
    <n v="0.121"/>
    <n v="6"/>
    <n v="14"/>
    <n v="0.99780000000000002"/>
    <n v="3.05"/>
    <n v="0.74"/>
    <n v="11.5"/>
    <n v="7"/>
    <x v="1"/>
  </r>
  <r>
    <n v="10.3"/>
    <n v="0.44"/>
    <n v="0.5"/>
    <n v="4.5"/>
    <n v="0.107"/>
    <n v="5"/>
    <n v="13"/>
    <n v="0.998"/>
    <n v="3.28"/>
    <n v="0.83"/>
    <n v="11.5"/>
    <n v="5"/>
    <x v="0"/>
  </r>
  <r>
    <n v="13.4"/>
    <n v="0.27"/>
    <n v="0.62"/>
    <n v="2.6"/>
    <n v="8.2000000000000003E-2"/>
    <n v="6"/>
    <n v="21"/>
    <n v="1.0002"/>
    <n v="3.16"/>
    <n v="0.67"/>
    <n v="9.6999999999999993"/>
    <n v="6"/>
    <x v="0"/>
  </r>
  <r>
    <n v="10.7"/>
    <n v="0.46"/>
    <n v="0.39"/>
    <n v="2"/>
    <n v="6.0999999999999999E-2"/>
    <n v="7"/>
    <n v="15"/>
    <n v="0.99809999999999999"/>
    <n v="3.18"/>
    <n v="0.62"/>
    <n v="9.5"/>
    <n v="5"/>
    <x v="0"/>
  </r>
  <r>
    <n v="10.199999999999999"/>
    <n v="0.36"/>
    <n v="0.64"/>
    <n v="2.9"/>
    <n v="0.122"/>
    <n v="10"/>
    <n v="41"/>
    <n v="0.998"/>
    <n v="3.23"/>
    <n v="0.66"/>
    <n v="12.5"/>
    <n v="6"/>
    <x v="0"/>
  </r>
  <r>
    <n v="10.199999999999999"/>
    <n v="0.36"/>
    <n v="0.64"/>
    <n v="2.9"/>
    <n v="0.122"/>
    <n v="10"/>
    <n v="41"/>
    <n v="0.998"/>
    <n v="3.23"/>
    <n v="0.66"/>
    <n v="12.5"/>
    <n v="6"/>
    <x v="0"/>
  </r>
  <r>
    <n v="8"/>
    <n v="0.57999999999999996"/>
    <n v="0.28000000000000003"/>
    <n v="3.2"/>
    <n v="6.6000000000000003E-2"/>
    <n v="21"/>
    <n v="114"/>
    <n v="0.99729999999999996"/>
    <n v="3.22"/>
    <n v="0.54"/>
    <n v="9.4"/>
    <n v="6"/>
    <x v="0"/>
  </r>
  <r>
    <n v="8.4"/>
    <n v="0.56000000000000005"/>
    <n v="0.08"/>
    <n v="2.1"/>
    <n v="0.105"/>
    <n v="16"/>
    <n v="44"/>
    <n v="0.99580000000000002"/>
    <n v="3.13"/>
    <n v="0.52"/>
    <n v="11"/>
    <n v="5"/>
    <x v="0"/>
  </r>
  <r>
    <n v="7.9"/>
    <n v="0.65"/>
    <n v="0.01"/>
    <n v="2.5"/>
    <n v="7.8E-2"/>
    <n v="17"/>
    <n v="38"/>
    <n v="0.99629999999999996"/>
    <n v="3.34"/>
    <n v="0.74"/>
    <n v="11.7"/>
    <n v="7"/>
    <x v="1"/>
  </r>
  <r>
    <n v="11.9"/>
    <n v="0.69499999999999995"/>
    <n v="0.53"/>
    <n v="3.4"/>
    <n v="0.128"/>
    <n v="7"/>
    <n v="21"/>
    <n v="0.99919999999999998"/>
    <n v="3.17"/>
    <n v="0.84"/>
    <n v="12.2"/>
    <n v="7"/>
    <x v="1"/>
  </r>
  <r>
    <n v="8.9"/>
    <n v="0.43"/>
    <n v="0.45"/>
    <n v="1.9"/>
    <n v="5.1999999999999998E-2"/>
    <n v="6"/>
    <n v="16"/>
    <n v="0.99480000000000002"/>
    <n v="3.35"/>
    <n v="0.7"/>
    <n v="12.5"/>
    <n v="6"/>
    <x v="0"/>
  </r>
  <r>
    <n v="7.8"/>
    <n v="0.43"/>
    <n v="0.32"/>
    <n v="2.8"/>
    <n v="0.08"/>
    <n v="29"/>
    <n v="58"/>
    <n v="0.99739999999999995"/>
    <n v="3.31"/>
    <n v="0.64"/>
    <n v="10.3"/>
    <n v="5"/>
    <x v="0"/>
  </r>
  <r>
    <n v="12.4"/>
    <n v="0.49"/>
    <n v="0.57999999999999996"/>
    <n v="3"/>
    <n v="0.10299999999999999"/>
    <n v="28"/>
    <n v="99"/>
    <n v="1.0007999999999999"/>
    <n v="3.16"/>
    <n v="1"/>
    <n v="11.5"/>
    <n v="6"/>
    <x v="0"/>
  </r>
  <r>
    <n v="12.5"/>
    <n v="0.28000000000000003"/>
    <n v="0.54"/>
    <n v="2.2999999999999998"/>
    <n v="8.2000000000000003E-2"/>
    <n v="12"/>
    <n v="29"/>
    <n v="0.99970000000000003"/>
    <n v="3.11"/>
    <n v="1.36"/>
    <n v="9.8000000000000007"/>
    <n v="7"/>
    <x v="1"/>
  </r>
  <r>
    <n v="12.2"/>
    <n v="0.34"/>
    <n v="0.5"/>
    <n v="2.4"/>
    <n v="6.6000000000000003E-2"/>
    <n v="10"/>
    <n v="21"/>
    <n v="1"/>
    <n v="3.12"/>
    <n v="1.18"/>
    <n v="9.1999999999999993"/>
    <n v="6"/>
    <x v="0"/>
  </r>
  <r>
    <n v="10.6"/>
    <n v="0.42"/>
    <n v="0.48"/>
    <n v="2.7"/>
    <n v="6.5000000000000002E-2"/>
    <n v="5"/>
    <n v="18"/>
    <n v="0.99719999999999998"/>
    <n v="3.21"/>
    <n v="0.87"/>
    <n v="11.3"/>
    <n v="6"/>
    <x v="0"/>
  </r>
  <r>
    <n v="10.9"/>
    <n v="0.39"/>
    <n v="0.47"/>
    <n v="1.8"/>
    <n v="0.11799999999999999"/>
    <n v="6"/>
    <n v="14"/>
    <n v="0.99819999999999998"/>
    <n v="3.3"/>
    <n v="0.75"/>
    <n v="9.8000000000000007"/>
    <n v="6"/>
    <x v="0"/>
  </r>
  <r>
    <n v="10.9"/>
    <n v="0.39"/>
    <n v="0.47"/>
    <n v="1.8"/>
    <n v="0.11799999999999999"/>
    <n v="6"/>
    <n v="14"/>
    <n v="0.99819999999999998"/>
    <n v="3.3"/>
    <n v="0.75"/>
    <n v="9.8000000000000007"/>
    <n v="6"/>
    <x v="0"/>
  </r>
  <r>
    <n v="11.9"/>
    <n v="0.56999999999999995"/>
    <n v="0.5"/>
    <n v="2.6"/>
    <n v="8.2000000000000003E-2"/>
    <n v="6"/>
    <n v="32"/>
    <n v="1.0005999999999999"/>
    <n v="3.12"/>
    <n v="0.78"/>
    <n v="10.7"/>
    <n v="6"/>
    <x v="0"/>
  </r>
  <r>
    <n v="7"/>
    <n v="0.68500000000000005"/>
    <n v="0"/>
    <n v="1.9"/>
    <n v="6.7000000000000004E-2"/>
    <n v="40"/>
    <n v="63"/>
    <n v="0.99790000000000001"/>
    <n v="3.6"/>
    <n v="0.81"/>
    <n v="9.9"/>
    <n v="5"/>
    <x v="0"/>
  </r>
  <r>
    <n v="6.6"/>
    <n v="0.81499999999999995"/>
    <n v="0.02"/>
    <n v="2.7"/>
    <n v="7.1999999999999995E-2"/>
    <n v="17"/>
    <n v="34"/>
    <n v="0.99550000000000005"/>
    <n v="3.58"/>
    <n v="0.89"/>
    <n v="12.3"/>
    <n v="7"/>
    <x v="1"/>
  </r>
  <r>
    <n v="13.8"/>
    <n v="0.49"/>
    <n v="0.67"/>
    <n v="3"/>
    <n v="9.2999999999999999E-2"/>
    <n v="6"/>
    <n v="15"/>
    <n v="0.99860000000000004"/>
    <n v="3.02"/>
    <n v="0.93"/>
    <n v="12"/>
    <n v="6"/>
    <x v="0"/>
  </r>
  <r>
    <n v="9.6"/>
    <n v="0.56000000000000005"/>
    <n v="0.31"/>
    <n v="2.8"/>
    <n v="8.8999999999999996E-2"/>
    <n v="15"/>
    <n v="46"/>
    <n v="0.99790000000000001"/>
    <n v="3.11"/>
    <n v="0.92"/>
    <n v="10"/>
    <n v="6"/>
    <x v="0"/>
  </r>
  <r>
    <n v="9.1"/>
    <n v="0.78500000000000003"/>
    <n v="0"/>
    <n v="2.6"/>
    <n v="9.2999999999999999E-2"/>
    <n v="11"/>
    <n v="28"/>
    <n v="0.99939999999999996"/>
    <n v="3.36"/>
    <n v="0.86"/>
    <n v="9.4"/>
    <n v="6"/>
    <x v="0"/>
  </r>
  <r>
    <n v="10.7"/>
    <n v="0.67"/>
    <n v="0.22"/>
    <n v="2.7"/>
    <n v="0.107"/>
    <n v="17"/>
    <n v="34"/>
    <n v="1.0004"/>
    <n v="3.28"/>
    <n v="0.98"/>
    <n v="9.9"/>
    <n v="6"/>
    <x v="0"/>
  </r>
  <r>
    <n v="9.1"/>
    <n v="0.79500000000000004"/>
    <n v="0"/>
    <n v="2.6"/>
    <n v="9.6000000000000002E-2"/>
    <n v="11"/>
    <n v="26"/>
    <n v="0.99939999999999996"/>
    <n v="3.35"/>
    <n v="0.83"/>
    <n v="9.4"/>
    <n v="6"/>
    <x v="0"/>
  </r>
  <r>
    <n v="7.7"/>
    <n v="0.66500000000000004"/>
    <n v="0"/>
    <n v="2.4"/>
    <n v="0.09"/>
    <n v="8"/>
    <n v="19"/>
    <n v="0.99739999999999995"/>
    <n v="3.27"/>
    <n v="0.73"/>
    <n v="9.3000000000000007"/>
    <n v="5"/>
    <x v="0"/>
  </r>
  <r>
    <n v="13.5"/>
    <n v="0.53"/>
    <n v="0.79"/>
    <n v="4.8"/>
    <n v="0.12"/>
    <n v="23"/>
    <n v="77"/>
    <n v="1.0018"/>
    <n v="3.18"/>
    <n v="0.77"/>
    <n v="13"/>
    <n v="5"/>
    <x v="0"/>
  </r>
  <r>
    <n v="6.1"/>
    <n v="0.21"/>
    <n v="0.4"/>
    <n v="1.4"/>
    <n v="6.6000000000000003E-2"/>
    <n v="40.5"/>
    <n v="165"/>
    <n v="0.99119999999999997"/>
    <n v="3.25"/>
    <n v="0.59"/>
    <n v="11.9"/>
    <n v="6"/>
    <x v="0"/>
  </r>
  <r>
    <n v="6.7"/>
    <n v="0.75"/>
    <n v="0.01"/>
    <n v="2.4"/>
    <n v="7.8E-2"/>
    <n v="17"/>
    <n v="32"/>
    <n v="0.99550000000000005"/>
    <n v="3.55"/>
    <n v="0.61"/>
    <n v="12.8"/>
    <n v="6"/>
    <x v="0"/>
  </r>
  <r>
    <n v="11.5"/>
    <n v="0.41"/>
    <n v="0.52"/>
    <n v="3"/>
    <n v="0.08"/>
    <n v="29"/>
    <n v="55"/>
    <n v="1.0001"/>
    <n v="3.26"/>
    <n v="0.88"/>
    <n v="11"/>
    <n v="5"/>
    <x v="0"/>
  </r>
  <r>
    <n v="10.5"/>
    <n v="0.42"/>
    <n v="0.66"/>
    <n v="2.95"/>
    <n v="0.11600000000000001"/>
    <n v="12"/>
    <n v="29"/>
    <n v="0.997"/>
    <n v="3.24"/>
    <n v="0.75"/>
    <n v="11.7"/>
    <n v="7"/>
    <x v="1"/>
  </r>
  <r>
    <n v="11.9"/>
    <n v="0.43"/>
    <n v="0.66"/>
    <n v="3.1"/>
    <n v="0.109"/>
    <n v="10"/>
    <n v="23"/>
    <n v="1"/>
    <n v="3.15"/>
    <n v="0.85"/>
    <n v="10.4"/>
    <n v="7"/>
    <x v="1"/>
  </r>
  <r>
    <n v="12.6"/>
    <n v="0.38"/>
    <n v="0.66"/>
    <n v="2.6"/>
    <n v="8.7999999999999995E-2"/>
    <n v="10"/>
    <n v="41"/>
    <n v="1.0009999999999999"/>
    <n v="3.17"/>
    <n v="0.68"/>
    <n v="9.8000000000000007"/>
    <n v="6"/>
    <x v="0"/>
  </r>
  <r>
    <n v="8.1999999999999993"/>
    <n v="0.7"/>
    <n v="0.23"/>
    <n v="2"/>
    <n v="9.9000000000000005E-2"/>
    <n v="14"/>
    <n v="81"/>
    <n v="0.99729999999999996"/>
    <n v="3.19"/>
    <n v="0.7"/>
    <n v="9.4"/>
    <n v="5"/>
    <x v="0"/>
  </r>
  <r>
    <n v="8.6"/>
    <n v="0.45"/>
    <n v="0.31"/>
    <n v="2.6"/>
    <n v="8.5999999999999993E-2"/>
    <n v="21"/>
    <n v="50"/>
    <n v="0.99819999999999998"/>
    <n v="3.37"/>
    <n v="0.91"/>
    <n v="9.9"/>
    <n v="6"/>
    <x v="0"/>
  </r>
  <r>
    <n v="11.9"/>
    <n v="0.57999999999999996"/>
    <n v="0.66"/>
    <n v="2.5"/>
    <n v="7.1999999999999995E-2"/>
    <n v="6"/>
    <n v="37"/>
    <n v="0.99919999999999998"/>
    <n v="3.05"/>
    <n v="0.56000000000000005"/>
    <n v="10"/>
    <n v="5"/>
    <x v="0"/>
  </r>
  <r>
    <n v="12.5"/>
    <n v="0.46"/>
    <n v="0.63"/>
    <n v="2"/>
    <n v="7.0999999999999994E-2"/>
    <n v="6"/>
    <n v="15"/>
    <n v="0.99880000000000002"/>
    <n v="2.99"/>
    <n v="0.87"/>
    <n v="10.199999999999999"/>
    <n v="5"/>
    <x v="0"/>
  </r>
  <r>
    <n v="12.8"/>
    <n v="0.61499999999999999"/>
    <n v="0.66"/>
    <n v="5.8"/>
    <n v="8.3000000000000004E-2"/>
    <n v="7"/>
    <n v="42"/>
    <n v="1.0022"/>
    <n v="3.07"/>
    <n v="0.73"/>
    <n v="10"/>
    <n v="7"/>
    <x v="1"/>
  </r>
  <r>
    <n v="10"/>
    <n v="0.42"/>
    <n v="0.5"/>
    <n v="3.4"/>
    <n v="0.107"/>
    <n v="7"/>
    <n v="21"/>
    <n v="0.99790000000000001"/>
    <n v="3.26"/>
    <n v="0.93"/>
    <n v="11.8"/>
    <n v="6"/>
    <x v="0"/>
  </r>
  <r>
    <n v="12.8"/>
    <n v="0.61499999999999999"/>
    <n v="0.66"/>
    <n v="5.8"/>
    <n v="8.3000000000000004E-2"/>
    <n v="7"/>
    <n v="42"/>
    <n v="1.0022"/>
    <n v="3.07"/>
    <n v="0.73"/>
    <n v="10"/>
    <n v="7"/>
    <x v="1"/>
  </r>
  <r>
    <n v="10.4"/>
    <n v="0.57499999999999996"/>
    <n v="0.61"/>
    <n v="2.6"/>
    <n v="7.5999999999999998E-2"/>
    <n v="11"/>
    <n v="24"/>
    <n v="1"/>
    <n v="3.16"/>
    <n v="0.69"/>
    <n v="9"/>
    <n v="5"/>
    <x v="0"/>
  </r>
  <r>
    <n v="10.3"/>
    <n v="0.34"/>
    <n v="0.52"/>
    <n v="2.8"/>
    <n v="0.159"/>
    <n v="15"/>
    <n v="75"/>
    <n v="0.99980000000000002"/>
    <n v="3.18"/>
    <n v="0.64"/>
    <n v="9.4"/>
    <n v="5"/>
    <x v="0"/>
  </r>
  <r>
    <n v="9.4"/>
    <n v="0.27"/>
    <n v="0.53"/>
    <n v="2.4"/>
    <n v="7.3999999999999996E-2"/>
    <n v="6"/>
    <n v="18"/>
    <n v="0.99619999999999997"/>
    <n v="3.2"/>
    <n v="1.1299999999999999"/>
    <n v="12"/>
    <n v="7"/>
    <x v="1"/>
  </r>
  <r>
    <n v="6.9"/>
    <n v="0.76500000000000001"/>
    <n v="0.02"/>
    <n v="2.2999999999999998"/>
    <n v="6.3E-2"/>
    <n v="35"/>
    <n v="63"/>
    <n v="0.99750000000000005"/>
    <n v="3.57"/>
    <n v="0.78"/>
    <n v="9.9"/>
    <n v="5"/>
    <x v="0"/>
  </r>
  <r>
    <n v="7.9"/>
    <n v="0.24"/>
    <n v="0.4"/>
    <n v="1.6"/>
    <n v="5.6000000000000001E-2"/>
    <n v="11"/>
    <n v="25"/>
    <n v="0.99670000000000003"/>
    <n v="3.32"/>
    <n v="0.87"/>
    <n v="8.6999999999999993"/>
    <n v="6"/>
    <x v="0"/>
  </r>
  <r>
    <n v="9.1"/>
    <n v="0.28000000000000003"/>
    <n v="0.48"/>
    <n v="1.8"/>
    <n v="6.7000000000000004E-2"/>
    <n v="26"/>
    <n v="46"/>
    <n v="0.99670000000000003"/>
    <n v="3.32"/>
    <n v="1.04"/>
    <n v="10.6"/>
    <n v="6"/>
    <x v="0"/>
  </r>
  <r>
    <n v="7.4"/>
    <n v="0.55000000000000004"/>
    <n v="0.22"/>
    <n v="2.2000000000000002"/>
    <n v="0.106"/>
    <n v="12"/>
    <n v="72"/>
    <n v="0.99590000000000001"/>
    <n v="3.05"/>
    <n v="0.63"/>
    <n v="9.1999999999999993"/>
    <n v="5"/>
    <x v="0"/>
  </r>
  <r>
    <n v="14"/>
    <n v="0.41"/>
    <n v="0.63"/>
    <n v="3.8"/>
    <n v="8.8999999999999996E-2"/>
    <n v="6"/>
    <n v="47"/>
    <n v="1.0014000000000001"/>
    <n v="3.01"/>
    <n v="0.81"/>
    <n v="10.8"/>
    <n v="6"/>
    <x v="0"/>
  </r>
  <r>
    <n v="11.5"/>
    <n v="0.54"/>
    <n v="0.71"/>
    <n v="4.4000000000000004"/>
    <n v="0.124"/>
    <n v="6"/>
    <n v="15"/>
    <n v="0.99839999999999995"/>
    <n v="3.01"/>
    <n v="0.83"/>
    <n v="11.8"/>
    <n v="7"/>
    <x v="1"/>
  </r>
  <r>
    <n v="11.5"/>
    <n v="0.45"/>
    <n v="0.5"/>
    <n v="3"/>
    <n v="7.8E-2"/>
    <n v="19"/>
    <n v="47"/>
    <n v="1.0003"/>
    <n v="3.26"/>
    <n v="1.1100000000000001"/>
    <n v="11"/>
    <n v="6"/>
    <x v="0"/>
  </r>
  <r>
    <n v="9.4"/>
    <n v="0.27"/>
    <n v="0.53"/>
    <n v="2.4"/>
    <n v="7.3999999999999996E-2"/>
    <n v="6"/>
    <n v="18"/>
    <n v="0.99619999999999997"/>
    <n v="3.2"/>
    <n v="1.1299999999999999"/>
    <n v="12"/>
    <n v="7"/>
    <x v="1"/>
  </r>
  <r>
    <n v="11.4"/>
    <n v="0.625"/>
    <n v="0.66"/>
    <n v="6.2"/>
    <n v="8.7999999999999995E-2"/>
    <n v="6"/>
    <n v="24"/>
    <n v="0.99880000000000002"/>
    <n v="3.11"/>
    <n v="0.99"/>
    <n v="13.3"/>
    <n v="6"/>
    <x v="0"/>
  </r>
  <r>
    <n v="8.3000000000000007"/>
    <n v="0.42"/>
    <n v="0.38"/>
    <n v="2.5"/>
    <n v="9.4E-2"/>
    <n v="24"/>
    <n v="60"/>
    <n v="0.99790000000000001"/>
    <n v="3.31"/>
    <n v="0.7"/>
    <n v="10.8"/>
    <n v="6"/>
    <x v="0"/>
  </r>
  <r>
    <n v="8.3000000000000007"/>
    <n v="0.26"/>
    <n v="0.42"/>
    <n v="2"/>
    <n v="0.08"/>
    <n v="11"/>
    <n v="27"/>
    <n v="0.99739999999999995"/>
    <n v="3.21"/>
    <n v="0.8"/>
    <n v="9.4"/>
    <n v="6"/>
    <x v="0"/>
  </r>
  <r>
    <n v="13.7"/>
    <n v="0.41499999999999998"/>
    <n v="0.68"/>
    <n v="2.9"/>
    <n v="8.5000000000000006E-2"/>
    <n v="17"/>
    <n v="43"/>
    <n v="1.0014000000000001"/>
    <n v="3.06"/>
    <n v="0.8"/>
    <n v="10"/>
    <n v="6"/>
    <x v="0"/>
  </r>
  <r>
    <n v="8.3000000000000007"/>
    <n v="0.26"/>
    <n v="0.42"/>
    <n v="2"/>
    <n v="0.08"/>
    <n v="11"/>
    <n v="27"/>
    <n v="0.99739999999999995"/>
    <n v="3.21"/>
    <n v="0.8"/>
    <n v="9.4"/>
    <n v="6"/>
    <x v="0"/>
  </r>
  <r>
    <n v="8.3000000000000007"/>
    <n v="0.26"/>
    <n v="0.42"/>
    <n v="2"/>
    <n v="0.08"/>
    <n v="11"/>
    <n v="27"/>
    <n v="0.99739999999999995"/>
    <n v="3.21"/>
    <n v="0.8"/>
    <n v="9.4"/>
    <n v="6"/>
    <x v="0"/>
  </r>
  <r>
    <n v="7.7"/>
    <n v="0.51"/>
    <n v="0.28000000000000003"/>
    <n v="2.1"/>
    <n v="8.6999999999999994E-2"/>
    <n v="23"/>
    <n v="54"/>
    <n v="0.998"/>
    <n v="3.42"/>
    <n v="0.74"/>
    <n v="9.1999999999999993"/>
    <n v="5"/>
    <x v="0"/>
  </r>
  <r>
    <n v="7.4"/>
    <n v="0.63"/>
    <n v="7.0000000000000007E-2"/>
    <n v="2.4"/>
    <n v="0.09"/>
    <n v="11"/>
    <n v="37"/>
    <n v="0.99790000000000001"/>
    <n v="3.43"/>
    <n v="0.76"/>
    <n v="9.6999999999999993"/>
    <n v="6"/>
    <x v="0"/>
  </r>
  <r>
    <n v="7.8"/>
    <n v="0.54"/>
    <n v="0.26"/>
    <n v="2"/>
    <n v="8.7999999999999995E-2"/>
    <n v="23"/>
    <n v="48"/>
    <n v="0.99809999999999999"/>
    <n v="3.41"/>
    <n v="0.74"/>
    <n v="9.1999999999999993"/>
    <n v="6"/>
    <x v="0"/>
  </r>
  <r>
    <n v="8.3000000000000007"/>
    <n v="0.66"/>
    <n v="0.15"/>
    <n v="1.9"/>
    <n v="7.9000000000000001E-2"/>
    <n v="17"/>
    <n v="42"/>
    <n v="0.99719999999999998"/>
    <n v="3.31"/>
    <n v="0.54"/>
    <n v="9.6"/>
    <n v="6"/>
    <x v="0"/>
  </r>
  <r>
    <n v="7.8"/>
    <n v="0.46"/>
    <n v="0.26"/>
    <n v="1.9"/>
    <n v="8.7999999999999995E-2"/>
    <n v="23"/>
    <n v="53"/>
    <n v="0.99809999999999999"/>
    <n v="3.43"/>
    <n v="0.74"/>
    <n v="9.1999999999999993"/>
    <n v="6"/>
    <x v="0"/>
  </r>
  <r>
    <n v="9.6"/>
    <n v="0.38"/>
    <n v="0.31"/>
    <n v="2.5"/>
    <n v="9.6000000000000002E-2"/>
    <n v="16"/>
    <n v="49"/>
    <n v="0.99819999999999998"/>
    <n v="3.19"/>
    <n v="0.7"/>
    <n v="10"/>
    <n v="7"/>
    <x v="1"/>
  </r>
  <r>
    <n v="5.6"/>
    <n v="0.85"/>
    <n v="0.05"/>
    <n v="1.4"/>
    <n v="4.4999999999999998E-2"/>
    <n v="12"/>
    <n v="88"/>
    <n v="0.99239999999999995"/>
    <n v="3.56"/>
    <n v="0.82"/>
    <n v="12.9"/>
    <n v="8"/>
    <x v="1"/>
  </r>
  <r>
    <n v="13.7"/>
    <n v="0.41499999999999998"/>
    <n v="0.68"/>
    <n v="2.9"/>
    <n v="8.5000000000000006E-2"/>
    <n v="17"/>
    <n v="43"/>
    <n v="1.0014000000000001"/>
    <n v="3.06"/>
    <n v="0.8"/>
    <n v="10"/>
    <n v="6"/>
    <x v="0"/>
  </r>
  <r>
    <n v="9.5"/>
    <n v="0.37"/>
    <n v="0.52"/>
    <n v="2"/>
    <n v="8.2000000000000003E-2"/>
    <n v="6"/>
    <n v="26"/>
    <n v="0.998"/>
    <n v="3.18"/>
    <n v="0.51"/>
    <n v="9.5"/>
    <n v="5"/>
    <x v="0"/>
  </r>
  <r>
    <n v="8.4"/>
    <n v="0.66500000000000004"/>
    <n v="0.61"/>
    <n v="2"/>
    <n v="0.112"/>
    <n v="13"/>
    <n v="95"/>
    <n v="0.997"/>
    <n v="3.16"/>
    <n v="0.54"/>
    <n v="9.1"/>
    <n v="5"/>
    <x v="0"/>
  </r>
  <r>
    <n v="12.7"/>
    <n v="0.6"/>
    <n v="0.65"/>
    <n v="2.2999999999999998"/>
    <n v="6.3E-2"/>
    <n v="6"/>
    <n v="25"/>
    <n v="0.99970000000000003"/>
    <n v="3.03"/>
    <n v="0.56999999999999995"/>
    <n v="9.9"/>
    <n v="5"/>
    <x v="0"/>
  </r>
  <r>
    <n v="12"/>
    <n v="0.37"/>
    <n v="0.76"/>
    <n v="4.2"/>
    <n v="6.6000000000000003E-2"/>
    <n v="7"/>
    <n v="38"/>
    <n v="1.0004"/>
    <n v="3.22"/>
    <n v="0.6"/>
    <n v="13"/>
    <n v="7"/>
    <x v="1"/>
  </r>
  <r>
    <n v="6.6"/>
    <n v="0.73499999999999999"/>
    <n v="0.02"/>
    <n v="7.9"/>
    <n v="0.122"/>
    <n v="68"/>
    <n v="124"/>
    <n v="0.99939999999999996"/>
    <n v="3.47"/>
    <n v="0.53"/>
    <n v="9.9"/>
    <n v="5"/>
    <x v="0"/>
  </r>
  <r>
    <n v="11.5"/>
    <n v="0.59"/>
    <n v="0.59"/>
    <n v="2.6"/>
    <n v="8.6999999999999994E-2"/>
    <n v="13"/>
    <n v="49"/>
    <n v="0.99880000000000002"/>
    <n v="3.18"/>
    <n v="0.65"/>
    <n v="11"/>
    <n v="6"/>
    <x v="0"/>
  </r>
  <r>
    <n v="11.5"/>
    <n v="0.59"/>
    <n v="0.59"/>
    <n v="2.6"/>
    <n v="8.6999999999999994E-2"/>
    <n v="13"/>
    <n v="49"/>
    <n v="0.99880000000000002"/>
    <n v="3.18"/>
    <n v="0.65"/>
    <n v="11"/>
    <n v="6"/>
    <x v="0"/>
  </r>
  <r>
    <n v="8.6999999999999993"/>
    <n v="0.76500000000000001"/>
    <n v="0.22"/>
    <n v="2.2999999999999998"/>
    <n v="6.4000000000000001E-2"/>
    <n v="9"/>
    <n v="42"/>
    <n v="0.99629999999999996"/>
    <n v="3.1"/>
    <n v="0.55000000000000004"/>
    <n v="9.4"/>
    <n v="5"/>
    <x v="0"/>
  </r>
  <r>
    <n v="6.6"/>
    <n v="0.73499999999999999"/>
    <n v="0.02"/>
    <n v="7.9"/>
    <n v="0.122"/>
    <n v="68"/>
    <n v="124"/>
    <n v="0.99939999999999996"/>
    <n v="3.47"/>
    <n v="0.53"/>
    <n v="9.9"/>
    <n v="5"/>
    <x v="0"/>
  </r>
  <r>
    <n v="7.7"/>
    <n v="0.26"/>
    <n v="0.3"/>
    <n v="1.7"/>
    <n v="5.8999999999999997E-2"/>
    <n v="20"/>
    <n v="38"/>
    <n v="0.99490000000000001"/>
    <n v="3.29"/>
    <n v="0.47"/>
    <n v="10.8"/>
    <n v="6"/>
    <x v="0"/>
  </r>
  <r>
    <n v="12.2"/>
    <n v="0.48"/>
    <n v="0.54"/>
    <n v="2.6"/>
    <n v="8.5000000000000006E-2"/>
    <n v="19"/>
    <n v="64"/>
    <n v="1"/>
    <n v="3.1"/>
    <n v="0.61"/>
    <n v="10.5"/>
    <n v="6"/>
    <x v="0"/>
  </r>
  <r>
    <n v="11.4"/>
    <n v="0.6"/>
    <n v="0.49"/>
    <n v="2.7"/>
    <n v="8.5000000000000006E-2"/>
    <n v="10"/>
    <n v="41"/>
    <n v="0.99939999999999996"/>
    <n v="3.15"/>
    <n v="0.63"/>
    <n v="10.5"/>
    <n v="6"/>
    <x v="0"/>
  </r>
  <r>
    <n v="7.7"/>
    <n v="0.69"/>
    <n v="0.05"/>
    <n v="2.7"/>
    <n v="7.4999999999999997E-2"/>
    <n v="15"/>
    <n v="27"/>
    <n v="0.99739999999999995"/>
    <n v="3.26"/>
    <n v="0.61"/>
    <n v="9.1"/>
    <n v="5"/>
    <x v="0"/>
  </r>
  <r>
    <n v="8.6999999999999993"/>
    <n v="0.31"/>
    <n v="0.46"/>
    <n v="1.4"/>
    <n v="5.8999999999999997E-2"/>
    <n v="11"/>
    <n v="25"/>
    <n v="0.99660000000000004"/>
    <n v="3.36"/>
    <n v="0.76"/>
    <n v="10.1"/>
    <n v="6"/>
    <x v="0"/>
  </r>
  <r>
    <n v="9.8000000000000007"/>
    <n v="0.44"/>
    <n v="0.47"/>
    <n v="2.5"/>
    <n v="6.3E-2"/>
    <n v="9"/>
    <n v="28"/>
    <n v="0.99809999999999999"/>
    <n v="3.24"/>
    <n v="0.65"/>
    <n v="10.8"/>
    <n v="6"/>
    <x v="0"/>
  </r>
  <r>
    <n v="12"/>
    <n v="0.39"/>
    <n v="0.66"/>
    <n v="3"/>
    <n v="9.2999999999999999E-2"/>
    <n v="12"/>
    <n v="30"/>
    <n v="0.99960000000000004"/>
    <n v="3.18"/>
    <n v="0.63"/>
    <n v="10.8"/>
    <n v="7"/>
    <x v="1"/>
  </r>
  <r>
    <n v="10.4"/>
    <n v="0.34"/>
    <n v="0.57999999999999996"/>
    <n v="3.7"/>
    <n v="0.17399999999999999"/>
    <n v="6"/>
    <n v="16"/>
    <n v="0.997"/>
    <n v="3.19"/>
    <n v="0.7"/>
    <n v="11.3"/>
    <n v="6"/>
    <x v="0"/>
  </r>
  <r>
    <n v="12.5"/>
    <n v="0.46"/>
    <n v="0.49"/>
    <n v="4.5"/>
    <n v="7.0000000000000007E-2"/>
    <n v="26"/>
    <n v="49"/>
    <n v="0.99809999999999999"/>
    <n v="3.05"/>
    <n v="0.56999999999999995"/>
    <n v="9.6"/>
    <n v="4"/>
    <x v="2"/>
  </r>
  <r>
    <n v="9"/>
    <n v="0.43"/>
    <n v="0.34"/>
    <n v="2.5"/>
    <n v="0.08"/>
    <n v="26"/>
    <n v="86"/>
    <n v="0.99870000000000003"/>
    <n v="3.38"/>
    <n v="0.62"/>
    <n v="9.5"/>
    <n v="6"/>
    <x v="0"/>
  </r>
  <r>
    <n v="9.1"/>
    <n v="0.45"/>
    <n v="0.35"/>
    <n v="2.4"/>
    <n v="0.08"/>
    <n v="23"/>
    <n v="78"/>
    <n v="0.99870000000000003"/>
    <n v="3.38"/>
    <n v="0.62"/>
    <n v="9.5"/>
    <n v="5"/>
    <x v="0"/>
  </r>
  <r>
    <n v="7.1"/>
    <n v="0.73499999999999999"/>
    <n v="0.16"/>
    <n v="1.9"/>
    <n v="0.1"/>
    <n v="15"/>
    <n v="77"/>
    <n v="0.99660000000000004"/>
    <n v="3.27"/>
    <n v="0.64"/>
    <n v="9.3000000000000007"/>
    <n v="5"/>
    <x v="0"/>
  </r>
  <r>
    <n v="9.9"/>
    <n v="0.4"/>
    <n v="0.53"/>
    <n v="6.7"/>
    <n v="9.7000000000000003E-2"/>
    <n v="6"/>
    <n v="19"/>
    <n v="0.99860000000000004"/>
    <n v="3.27"/>
    <n v="0.82"/>
    <n v="11.7"/>
    <n v="7"/>
    <x v="1"/>
  </r>
  <r>
    <n v="8.8000000000000007"/>
    <n v="0.52"/>
    <n v="0.34"/>
    <n v="2.7"/>
    <n v="8.6999999999999994E-2"/>
    <n v="24"/>
    <n v="122"/>
    <n v="0.99819999999999998"/>
    <n v="3.26"/>
    <n v="0.61"/>
    <n v="9.5"/>
    <n v="5"/>
    <x v="0"/>
  </r>
  <r>
    <n v="8.6"/>
    <n v="0.72499999999999998"/>
    <n v="0.24"/>
    <n v="6.6"/>
    <n v="0.11700000000000001"/>
    <n v="31"/>
    <n v="134"/>
    <n v="1.0014000000000001"/>
    <n v="3.32"/>
    <n v="1.07"/>
    <n v="9.3000000000000007"/>
    <n v="5"/>
    <x v="0"/>
  </r>
  <r>
    <n v="10.6"/>
    <n v="0.48"/>
    <n v="0.64"/>
    <n v="2.2000000000000002"/>
    <n v="0.111"/>
    <n v="6"/>
    <n v="20"/>
    <n v="0.997"/>
    <n v="3.26"/>
    <n v="0.66"/>
    <n v="11.7"/>
    <n v="6"/>
    <x v="0"/>
  </r>
  <r>
    <n v="7"/>
    <n v="0.57999999999999996"/>
    <n v="0.12"/>
    <n v="1.9"/>
    <n v="9.0999999999999998E-2"/>
    <n v="34"/>
    <n v="124"/>
    <n v="0.99560000000000004"/>
    <n v="3.44"/>
    <n v="0.48"/>
    <n v="10.5"/>
    <n v="5"/>
    <x v="0"/>
  </r>
  <r>
    <n v="11.9"/>
    <n v="0.38"/>
    <n v="0.51"/>
    <n v="2"/>
    <n v="0.121"/>
    <n v="7"/>
    <n v="20"/>
    <n v="0.99960000000000004"/>
    <n v="3.24"/>
    <n v="0.76"/>
    <n v="10.4"/>
    <n v="6"/>
    <x v="0"/>
  </r>
  <r>
    <n v="6.8"/>
    <n v="0.77"/>
    <n v="0"/>
    <n v="1.8"/>
    <n v="6.6000000000000003E-2"/>
    <n v="34"/>
    <n v="52"/>
    <n v="0.99760000000000004"/>
    <n v="3.62"/>
    <n v="0.68"/>
    <n v="9.9"/>
    <n v="5"/>
    <x v="0"/>
  </r>
  <r>
    <n v="9.5"/>
    <n v="0.56000000000000005"/>
    <n v="0.33"/>
    <n v="2.4"/>
    <n v="8.8999999999999996E-2"/>
    <n v="35"/>
    <n v="67"/>
    <n v="0.99719999999999998"/>
    <n v="3.28"/>
    <n v="0.73"/>
    <n v="11.8"/>
    <n v="7"/>
    <x v="1"/>
  </r>
  <r>
    <n v="6.6"/>
    <n v="0.84"/>
    <n v="0.03"/>
    <n v="2.2999999999999998"/>
    <n v="5.8999999999999997E-2"/>
    <n v="32"/>
    <n v="48"/>
    <n v="0.99519999999999997"/>
    <n v="3.52"/>
    <n v="0.56000000000000005"/>
    <n v="12.3"/>
    <n v="7"/>
    <x v="1"/>
  </r>
  <r>
    <n v="7.7"/>
    <n v="0.96"/>
    <n v="0.2"/>
    <n v="2"/>
    <n v="4.7E-2"/>
    <n v="15"/>
    <n v="60"/>
    <n v="0.99550000000000005"/>
    <n v="3.36"/>
    <n v="0.44"/>
    <n v="10.9"/>
    <n v="5"/>
    <x v="0"/>
  </r>
  <r>
    <n v="10.5"/>
    <n v="0.24"/>
    <n v="0.47"/>
    <n v="2.1"/>
    <n v="6.6000000000000003E-2"/>
    <n v="6"/>
    <n v="24"/>
    <n v="0.99780000000000002"/>
    <n v="3.15"/>
    <n v="0.9"/>
    <n v="11"/>
    <n v="7"/>
    <x v="1"/>
  </r>
  <r>
    <n v="7.7"/>
    <n v="0.96"/>
    <n v="0.2"/>
    <n v="2"/>
    <n v="4.7E-2"/>
    <n v="15"/>
    <n v="60"/>
    <n v="0.99550000000000005"/>
    <n v="3.36"/>
    <n v="0.44"/>
    <n v="10.9"/>
    <n v="5"/>
    <x v="0"/>
  </r>
  <r>
    <n v="6.6"/>
    <n v="0.84"/>
    <n v="0.03"/>
    <n v="2.2999999999999998"/>
    <n v="5.8999999999999997E-2"/>
    <n v="32"/>
    <n v="48"/>
    <n v="0.99519999999999997"/>
    <n v="3.52"/>
    <n v="0.56000000000000005"/>
    <n v="12.3"/>
    <n v="7"/>
    <x v="1"/>
  </r>
  <r>
    <n v="6.4"/>
    <n v="0.67"/>
    <n v="0.08"/>
    <n v="2.1"/>
    <n v="4.4999999999999998E-2"/>
    <n v="19"/>
    <n v="48"/>
    <n v="0.99490000000000001"/>
    <n v="3.49"/>
    <n v="0.49"/>
    <n v="11.4"/>
    <n v="6"/>
    <x v="0"/>
  </r>
  <r>
    <n v="9.5"/>
    <n v="0.78"/>
    <n v="0.22"/>
    <n v="1.9"/>
    <n v="7.6999999999999999E-2"/>
    <n v="6"/>
    <n v="32"/>
    <n v="0.99880000000000002"/>
    <n v="3.26"/>
    <n v="0.56000000000000005"/>
    <n v="10.6"/>
    <n v="6"/>
    <x v="0"/>
  </r>
  <r>
    <n v="9.1"/>
    <n v="0.52"/>
    <n v="0.33"/>
    <n v="1.3"/>
    <n v="7.0000000000000007E-2"/>
    <n v="9"/>
    <n v="30"/>
    <n v="0.99780000000000002"/>
    <n v="3.24"/>
    <n v="0.6"/>
    <n v="9.3000000000000007"/>
    <n v="5"/>
    <x v="0"/>
  </r>
  <r>
    <n v="12.8"/>
    <n v="0.84"/>
    <n v="0.63"/>
    <n v="2.4"/>
    <n v="8.7999999999999995E-2"/>
    <n v="13"/>
    <n v="35"/>
    <n v="0.99970000000000003"/>
    <n v="3.1"/>
    <n v="0.6"/>
    <n v="10.4"/>
    <n v="6"/>
    <x v="0"/>
  </r>
  <r>
    <n v="10.5"/>
    <n v="0.24"/>
    <n v="0.47"/>
    <n v="2.1"/>
    <n v="6.6000000000000003E-2"/>
    <n v="6"/>
    <n v="24"/>
    <n v="0.99780000000000002"/>
    <n v="3.15"/>
    <n v="0.9"/>
    <n v="11"/>
    <n v="7"/>
    <x v="1"/>
  </r>
  <r>
    <n v="7.8"/>
    <n v="0.55000000000000004"/>
    <n v="0.35"/>
    <n v="2.2000000000000002"/>
    <n v="7.3999999999999996E-2"/>
    <n v="21"/>
    <n v="66"/>
    <n v="0.99739999999999995"/>
    <n v="3.25"/>
    <n v="0.56000000000000005"/>
    <n v="9.1999999999999993"/>
    <n v="5"/>
    <x v="0"/>
  </r>
  <r>
    <n v="11.9"/>
    <n v="0.37"/>
    <n v="0.69"/>
    <n v="2.2999999999999998"/>
    <n v="7.8E-2"/>
    <n v="12"/>
    <n v="24"/>
    <n v="0.99580000000000002"/>
    <n v="3"/>
    <n v="0.65"/>
    <n v="12.8"/>
    <n v="6"/>
    <x v="0"/>
  </r>
  <r>
    <n v="12.3"/>
    <n v="0.39"/>
    <n v="0.63"/>
    <n v="2.2999999999999998"/>
    <n v="9.0999999999999998E-2"/>
    <n v="6"/>
    <n v="18"/>
    <n v="1.0004"/>
    <n v="3.16"/>
    <n v="0.49"/>
    <n v="9.5"/>
    <n v="5"/>
    <x v="0"/>
  </r>
  <r>
    <n v="10.4"/>
    <n v="0.41"/>
    <n v="0.55000000000000004"/>
    <n v="3.2"/>
    <n v="7.5999999999999998E-2"/>
    <n v="22"/>
    <n v="54"/>
    <n v="0.99960000000000004"/>
    <n v="3.15"/>
    <n v="0.89"/>
    <n v="9.9"/>
    <n v="6"/>
    <x v="0"/>
  </r>
  <r>
    <n v="12.3"/>
    <n v="0.39"/>
    <n v="0.63"/>
    <n v="2.2999999999999998"/>
    <n v="9.0999999999999998E-2"/>
    <n v="6"/>
    <n v="18"/>
    <n v="1.0004"/>
    <n v="3.16"/>
    <n v="0.49"/>
    <n v="9.5"/>
    <n v="5"/>
    <x v="0"/>
  </r>
  <r>
    <n v="8"/>
    <n v="0.67"/>
    <n v="0.3"/>
    <n v="2"/>
    <n v="0.06"/>
    <n v="38"/>
    <n v="62"/>
    <n v="0.99580000000000002"/>
    <n v="3.26"/>
    <n v="0.56000000000000005"/>
    <n v="10.199999999999999"/>
    <n v="6"/>
    <x v="0"/>
  </r>
  <r>
    <n v="11.1"/>
    <n v="0.45"/>
    <n v="0.73"/>
    <n v="3.2"/>
    <n v="6.6000000000000003E-2"/>
    <n v="6"/>
    <n v="22"/>
    <n v="0.99860000000000004"/>
    <n v="3.17"/>
    <n v="0.66"/>
    <n v="11.2"/>
    <n v="6"/>
    <x v="0"/>
  </r>
  <r>
    <n v="10.4"/>
    <n v="0.41"/>
    <n v="0.55000000000000004"/>
    <n v="3.2"/>
    <n v="7.5999999999999998E-2"/>
    <n v="22"/>
    <n v="54"/>
    <n v="0.99960000000000004"/>
    <n v="3.15"/>
    <n v="0.89"/>
    <n v="9.9"/>
    <n v="6"/>
    <x v="0"/>
  </r>
  <r>
    <n v="7"/>
    <n v="0.62"/>
    <n v="0.18"/>
    <n v="1.5"/>
    <n v="6.2E-2"/>
    <n v="7"/>
    <n v="50"/>
    <n v="0.99509999999999998"/>
    <n v="3.08"/>
    <n v="0.6"/>
    <n v="9.3000000000000007"/>
    <n v="5"/>
    <x v="0"/>
  </r>
  <r>
    <n v="12.6"/>
    <n v="0.31"/>
    <n v="0.72"/>
    <n v="2.2000000000000002"/>
    <n v="7.1999999999999995E-2"/>
    <n v="6"/>
    <n v="29"/>
    <n v="0.99870000000000003"/>
    <n v="2.88"/>
    <n v="0.82"/>
    <n v="9.8000000000000007"/>
    <n v="8"/>
    <x v="1"/>
  </r>
  <r>
    <n v="11.9"/>
    <n v="0.4"/>
    <n v="0.65"/>
    <n v="2.15"/>
    <n v="6.8000000000000005E-2"/>
    <n v="7"/>
    <n v="27"/>
    <n v="0.99880000000000002"/>
    <n v="3.06"/>
    <n v="0.68"/>
    <n v="11.3"/>
    <n v="6"/>
    <x v="0"/>
  </r>
  <r>
    <n v="15.6"/>
    <n v="0.68500000000000005"/>
    <n v="0.76"/>
    <n v="3.7"/>
    <n v="0.1"/>
    <n v="6"/>
    <n v="43"/>
    <n v="1.0032000000000001"/>
    <n v="2.95"/>
    <n v="0.68"/>
    <n v="11.2"/>
    <n v="7"/>
    <x v="1"/>
  </r>
  <r>
    <n v="10"/>
    <n v="0.44"/>
    <n v="0.49"/>
    <n v="2.7"/>
    <n v="7.6999999999999999E-2"/>
    <n v="11"/>
    <n v="19"/>
    <n v="0.99629999999999996"/>
    <n v="3.23"/>
    <n v="0.63"/>
    <n v="11.6"/>
    <n v="7"/>
    <x v="1"/>
  </r>
  <r>
    <n v="5.3"/>
    <n v="0.56999999999999995"/>
    <n v="0.01"/>
    <n v="1.7"/>
    <n v="5.3999999999999999E-2"/>
    <n v="5"/>
    <n v="27"/>
    <n v="0.99339999999999995"/>
    <n v="3.57"/>
    <n v="0.84"/>
    <n v="12.5"/>
    <n v="7"/>
    <x v="1"/>
  </r>
  <r>
    <n v="9.5"/>
    <n v="0.73499999999999999"/>
    <n v="0.1"/>
    <n v="2.1"/>
    <n v="7.9000000000000001E-2"/>
    <n v="6"/>
    <n v="31"/>
    <n v="0.99860000000000004"/>
    <n v="3.23"/>
    <n v="0.56000000000000005"/>
    <n v="10.1"/>
    <n v="6"/>
    <x v="0"/>
  </r>
  <r>
    <n v="12.5"/>
    <n v="0.38"/>
    <n v="0.6"/>
    <n v="2.6"/>
    <n v="8.1000000000000003E-2"/>
    <n v="31"/>
    <n v="72"/>
    <n v="0.99960000000000004"/>
    <n v="3.1"/>
    <n v="0.73"/>
    <n v="10.5"/>
    <n v="5"/>
    <x v="0"/>
  </r>
  <r>
    <n v="9.3000000000000007"/>
    <n v="0.48"/>
    <n v="0.28999999999999998"/>
    <n v="2.1"/>
    <n v="0.127"/>
    <n v="6"/>
    <n v="16"/>
    <n v="0.99680000000000002"/>
    <n v="3.22"/>
    <n v="0.72"/>
    <n v="11.2"/>
    <n v="5"/>
    <x v="0"/>
  </r>
  <r>
    <n v="8.6"/>
    <n v="0.53"/>
    <n v="0.22"/>
    <n v="2"/>
    <n v="0.1"/>
    <n v="7"/>
    <n v="27"/>
    <n v="0.99670000000000003"/>
    <n v="3.2"/>
    <n v="0.56000000000000005"/>
    <n v="10.199999999999999"/>
    <n v="6"/>
    <x v="0"/>
  </r>
  <r>
    <n v="11.9"/>
    <n v="0.39"/>
    <n v="0.69"/>
    <n v="2.8"/>
    <n v="9.5000000000000001E-2"/>
    <n v="17"/>
    <n v="35"/>
    <n v="0.99939999999999996"/>
    <n v="3.1"/>
    <n v="0.61"/>
    <n v="10.8"/>
    <n v="6"/>
    <x v="0"/>
  </r>
  <r>
    <n v="11.9"/>
    <n v="0.39"/>
    <n v="0.69"/>
    <n v="2.8"/>
    <n v="9.5000000000000001E-2"/>
    <n v="17"/>
    <n v="35"/>
    <n v="0.99939999999999996"/>
    <n v="3.1"/>
    <n v="0.61"/>
    <n v="10.8"/>
    <n v="6"/>
    <x v="0"/>
  </r>
  <r>
    <n v="8.4"/>
    <n v="0.37"/>
    <n v="0.53"/>
    <n v="1.8"/>
    <n v="0.41299999999999998"/>
    <n v="9"/>
    <n v="26"/>
    <n v="0.99790000000000001"/>
    <n v="3.06"/>
    <n v="1.06"/>
    <n v="9.1"/>
    <n v="6"/>
    <x v="0"/>
  </r>
  <r>
    <n v="6.8"/>
    <n v="0.56000000000000005"/>
    <n v="0.03"/>
    <n v="1.7"/>
    <n v="8.4000000000000005E-2"/>
    <n v="18"/>
    <n v="35"/>
    <n v="0.99680000000000002"/>
    <n v="3.44"/>
    <n v="0.63"/>
    <n v="10"/>
    <n v="6"/>
    <x v="0"/>
  </r>
  <r>
    <n v="10.4"/>
    <n v="0.33"/>
    <n v="0.63"/>
    <n v="2.8"/>
    <n v="8.4000000000000005E-2"/>
    <n v="5"/>
    <n v="22"/>
    <n v="0.99980000000000002"/>
    <n v="3.26"/>
    <n v="0.74"/>
    <n v="11.2"/>
    <n v="7"/>
    <x v="1"/>
  </r>
  <r>
    <n v="7"/>
    <n v="0.23"/>
    <n v="0.4"/>
    <n v="1.6"/>
    <n v="6.3E-2"/>
    <n v="21"/>
    <n v="67"/>
    <n v="0.99519999999999997"/>
    <n v="3.5"/>
    <n v="0.63"/>
    <n v="11.1"/>
    <n v="5"/>
    <x v="0"/>
  </r>
  <r>
    <n v="11.3"/>
    <n v="0.62"/>
    <n v="0.67"/>
    <n v="5.2"/>
    <n v="8.5999999999999993E-2"/>
    <n v="6"/>
    <n v="19"/>
    <n v="0.99880000000000002"/>
    <n v="3.22"/>
    <n v="0.69"/>
    <n v="13.4"/>
    <n v="8"/>
    <x v="1"/>
  </r>
  <r>
    <n v="8.9"/>
    <n v="0.59"/>
    <n v="0.39"/>
    <n v="2.2999999999999998"/>
    <n v="9.5000000000000001E-2"/>
    <n v="5"/>
    <n v="22"/>
    <n v="0.99860000000000004"/>
    <n v="3.37"/>
    <n v="0.57999999999999996"/>
    <n v="10.3"/>
    <n v="5"/>
    <x v="0"/>
  </r>
  <r>
    <n v="9.1999999999999993"/>
    <n v="0.63"/>
    <n v="0.21"/>
    <n v="2.7"/>
    <n v="9.7000000000000003E-2"/>
    <n v="29"/>
    <n v="65"/>
    <n v="0.99880000000000002"/>
    <n v="3.28"/>
    <n v="0.57999999999999996"/>
    <n v="9.6"/>
    <n v="5"/>
    <x v="0"/>
  </r>
  <r>
    <n v="10.4"/>
    <n v="0.33"/>
    <n v="0.63"/>
    <n v="2.8"/>
    <n v="8.4000000000000005E-2"/>
    <n v="5"/>
    <n v="22"/>
    <n v="0.99980000000000002"/>
    <n v="3.26"/>
    <n v="0.74"/>
    <n v="11.2"/>
    <n v="7"/>
    <x v="1"/>
  </r>
  <r>
    <n v="11.6"/>
    <n v="0.57999999999999996"/>
    <n v="0.66"/>
    <n v="2.2000000000000002"/>
    <n v="7.3999999999999996E-2"/>
    <n v="10"/>
    <n v="47"/>
    <n v="1.0007999999999999"/>
    <n v="3.25"/>
    <n v="0.56999999999999995"/>
    <n v="9"/>
    <n v="3"/>
    <x v="2"/>
  </r>
  <r>
    <n v="9.1999999999999993"/>
    <n v="0.43"/>
    <n v="0.52"/>
    <n v="2.2999999999999998"/>
    <n v="8.3000000000000004E-2"/>
    <n v="14"/>
    <n v="23"/>
    <n v="0.99760000000000004"/>
    <n v="3.35"/>
    <n v="0.61"/>
    <n v="11.3"/>
    <n v="6"/>
    <x v="0"/>
  </r>
  <r>
    <n v="8.3000000000000007"/>
    <n v="0.61499999999999999"/>
    <n v="0.22"/>
    <n v="2.6"/>
    <n v="8.6999999999999994E-2"/>
    <n v="6"/>
    <n v="19"/>
    <n v="0.99819999999999998"/>
    <n v="3.26"/>
    <n v="0.61"/>
    <n v="9.3000000000000007"/>
    <n v="5"/>
    <x v="0"/>
  </r>
  <r>
    <n v="11"/>
    <n v="0.26"/>
    <n v="0.68"/>
    <n v="2.5499999999999998"/>
    <n v="8.5000000000000006E-2"/>
    <n v="10"/>
    <n v="25"/>
    <n v="0.997"/>
    <n v="3.18"/>
    <n v="0.61"/>
    <n v="11.8"/>
    <n v="5"/>
    <x v="0"/>
  </r>
  <r>
    <n v="8.1"/>
    <n v="0.66"/>
    <n v="0.7"/>
    <n v="2.2000000000000002"/>
    <n v="9.8000000000000004E-2"/>
    <n v="25"/>
    <n v="129"/>
    <n v="0.99719999999999998"/>
    <n v="3.08"/>
    <n v="0.53"/>
    <n v="9"/>
    <n v="5"/>
    <x v="0"/>
  </r>
  <r>
    <n v="11.5"/>
    <n v="0.315"/>
    <n v="0.54"/>
    <n v="2.1"/>
    <n v="8.4000000000000005E-2"/>
    <n v="5"/>
    <n v="15"/>
    <n v="0.99870000000000003"/>
    <n v="2.98"/>
    <n v="0.7"/>
    <n v="9.1999999999999993"/>
    <n v="6"/>
    <x v="0"/>
  </r>
  <r>
    <n v="10"/>
    <n v="0.28999999999999998"/>
    <n v="0.4"/>
    <n v="2.9"/>
    <n v="9.8000000000000004E-2"/>
    <n v="10"/>
    <n v="26"/>
    <n v="1.0005999999999999"/>
    <n v="3.48"/>
    <n v="0.91"/>
    <n v="9.6999999999999993"/>
    <n v="5"/>
    <x v="0"/>
  </r>
  <r>
    <n v="10.3"/>
    <n v="0.5"/>
    <n v="0.42"/>
    <n v="2"/>
    <n v="6.9000000000000006E-2"/>
    <n v="21"/>
    <n v="51"/>
    <n v="0.99819999999999998"/>
    <n v="3.16"/>
    <n v="0.72"/>
    <n v="11.5"/>
    <n v="6"/>
    <x v="0"/>
  </r>
  <r>
    <n v="8.8000000000000007"/>
    <n v="0.46"/>
    <n v="0.45"/>
    <n v="2.6"/>
    <n v="6.5000000000000002E-2"/>
    <n v="7"/>
    <n v="18"/>
    <n v="0.99470000000000003"/>
    <n v="3.32"/>
    <n v="0.79"/>
    <n v="14"/>
    <n v="6"/>
    <x v="0"/>
  </r>
  <r>
    <n v="11.4"/>
    <n v="0.36"/>
    <n v="0.69"/>
    <n v="2.1"/>
    <n v="0.09"/>
    <n v="6"/>
    <n v="21"/>
    <n v="1"/>
    <n v="3.17"/>
    <n v="0.62"/>
    <n v="9.1999999999999993"/>
    <n v="6"/>
    <x v="0"/>
  </r>
  <r>
    <n v="8.6999999999999993"/>
    <n v="0.82"/>
    <n v="0.02"/>
    <n v="1.2"/>
    <n v="7.0000000000000007E-2"/>
    <n v="36"/>
    <n v="48"/>
    <n v="0.99519999999999997"/>
    <n v="3.2"/>
    <n v="0.57999999999999996"/>
    <n v="9.8000000000000007"/>
    <n v="5"/>
    <x v="0"/>
  </r>
  <r>
    <n v="13"/>
    <n v="0.32"/>
    <n v="0.65"/>
    <n v="2.6"/>
    <n v="9.2999999999999999E-2"/>
    <n v="15"/>
    <n v="47"/>
    <n v="0.99960000000000004"/>
    <n v="3.05"/>
    <n v="0.61"/>
    <n v="10.6"/>
    <n v="5"/>
    <x v="0"/>
  </r>
  <r>
    <n v="9.6"/>
    <n v="0.54"/>
    <n v="0.42"/>
    <n v="2.4"/>
    <n v="8.1000000000000003E-2"/>
    <n v="25"/>
    <n v="52"/>
    <n v="0.997"/>
    <n v="3.2"/>
    <n v="0.71"/>
    <n v="11.4"/>
    <n v="6"/>
    <x v="0"/>
  </r>
  <r>
    <n v="12.5"/>
    <n v="0.37"/>
    <n v="0.55000000000000004"/>
    <n v="2.6"/>
    <n v="8.3000000000000004E-2"/>
    <n v="25"/>
    <n v="68"/>
    <n v="0.99950000000000006"/>
    <n v="3.15"/>
    <n v="0.82"/>
    <n v="10.4"/>
    <n v="6"/>
    <x v="0"/>
  </r>
  <r>
    <n v="9.9"/>
    <n v="0.35"/>
    <n v="0.55000000000000004"/>
    <n v="2.1"/>
    <n v="6.2E-2"/>
    <n v="5"/>
    <n v="14"/>
    <n v="0.99709999999999999"/>
    <n v="3.26"/>
    <n v="0.79"/>
    <n v="10.6"/>
    <n v="5"/>
    <x v="0"/>
  </r>
  <r>
    <n v="10.5"/>
    <n v="0.28000000000000003"/>
    <n v="0.51"/>
    <n v="1.7"/>
    <n v="0.08"/>
    <n v="10"/>
    <n v="24"/>
    <n v="0.99819999999999998"/>
    <n v="3.2"/>
    <n v="0.89"/>
    <n v="9.4"/>
    <n v="6"/>
    <x v="0"/>
  </r>
  <r>
    <n v="9.6"/>
    <n v="0.68"/>
    <n v="0.24"/>
    <n v="2.2000000000000002"/>
    <n v="8.6999999999999994E-2"/>
    <n v="5"/>
    <n v="28"/>
    <n v="0.99880000000000002"/>
    <n v="3.14"/>
    <n v="0.6"/>
    <n v="10.199999999999999"/>
    <n v="5"/>
    <x v="0"/>
  </r>
  <r>
    <n v="9.3000000000000007"/>
    <n v="0.27"/>
    <n v="0.41"/>
    <n v="2"/>
    <n v="9.0999999999999998E-2"/>
    <n v="6"/>
    <n v="16"/>
    <n v="0.998"/>
    <n v="3.28"/>
    <n v="0.7"/>
    <n v="9.6999999999999993"/>
    <n v="5"/>
    <x v="0"/>
  </r>
  <r>
    <n v="10.4"/>
    <n v="0.24"/>
    <n v="0.49"/>
    <n v="1.8"/>
    <n v="7.4999999999999997E-2"/>
    <n v="6"/>
    <n v="20"/>
    <n v="0.99770000000000003"/>
    <n v="3.18"/>
    <n v="1.06"/>
    <n v="11"/>
    <n v="6"/>
    <x v="0"/>
  </r>
  <r>
    <n v="9.6"/>
    <n v="0.68"/>
    <n v="0.24"/>
    <n v="2.2000000000000002"/>
    <n v="8.6999999999999994E-2"/>
    <n v="5"/>
    <n v="28"/>
    <n v="0.99880000000000002"/>
    <n v="3.14"/>
    <n v="0.6"/>
    <n v="10.199999999999999"/>
    <n v="5"/>
    <x v="0"/>
  </r>
  <r>
    <n v="9.4"/>
    <n v="0.68500000000000005"/>
    <n v="0.11"/>
    <n v="2.7"/>
    <n v="7.6999999999999999E-2"/>
    <n v="6"/>
    <n v="31"/>
    <n v="0.99839999999999995"/>
    <n v="3.19"/>
    <n v="0.7"/>
    <n v="10.1"/>
    <n v="6"/>
    <x v="0"/>
  </r>
  <r>
    <n v="10.6"/>
    <n v="0.28000000000000003"/>
    <n v="0.39"/>
    <n v="15.5"/>
    <n v="6.9000000000000006E-2"/>
    <n v="6"/>
    <n v="23"/>
    <n v="1.0025999999999999"/>
    <n v="3.12"/>
    <n v="0.66"/>
    <n v="9.1999999999999993"/>
    <n v="5"/>
    <x v="0"/>
  </r>
  <r>
    <n v="9.4"/>
    <n v="0.3"/>
    <n v="0.56000000000000005"/>
    <n v="2.8"/>
    <n v="0.08"/>
    <n v="6"/>
    <n v="17"/>
    <n v="0.99639999999999995"/>
    <n v="3.15"/>
    <n v="0.92"/>
    <n v="11.7"/>
    <n v="8"/>
    <x v="1"/>
  </r>
  <r>
    <n v="10.6"/>
    <n v="0.36"/>
    <n v="0.59"/>
    <n v="2.2000000000000002"/>
    <n v="0.152"/>
    <n v="6"/>
    <n v="18"/>
    <n v="0.99860000000000004"/>
    <n v="3.04"/>
    <n v="1.05"/>
    <n v="9.4"/>
    <n v="5"/>
    <x v="0"/>
  </r>
  <r>
    <n v="10.6"/>
    <n v="0.36"/>
    <n v="0.6"/>
    <n v="2.2000000000000002"/>
    <n v="0.152"/>
    <n v="7"/>
    <n v="18"/>
    <n v="0.99860000000000004"/>
    <n v="3.04"/>
    <n v="1.06"/>
    <n v="9.4"/>
    <n v="5"/>
    <x v="0"/>
  </r>
  <r>
    <n v="10.6"/>
    <n v="0.44"/>
    <n v="0.68"/>
    <n v="4.0999999999999996"/>
    <n v="0.114"/>
    <n v="6"/>
    <n v="24"/>
    <n v="0.997"/>
    <n v="3.06"/>
    <n v="0.66"/>
    <n v="13.4"/>
    <n v="6"/>
    <x v="0"/>
  </r>
  <r>
    <n v="10.199999999999999"/>
    <n v="0.67"/>
    <n v="0.39"/>
    <n v="1.9"/>
    <n v="5.3999999999999999E-2"/>
    <n v="6"/>
    <n v="17"/>
    <n v="0.99760000000000004"/>
    <n v="3.17"/>
    <n v="0.47"/>
    <n v="10"/>
    <n v="5"/>
    <x v="0"/>
  </r>
  <r>
    <n v="10.199999999999999"/>
    <n v="0.67"/>
    <n v="0.39"/>
    <n v="1.9"/>
    <n v="5.3999999999999999E-2"/>
    <n v="6"/>
    <n v="17"/>
    <n v="0.99760000000000004"/>
    <n v="3.17"/>
    <n v="0.47"/>
    <n v="10"/>
    <n v="5"/>
    <x v="0"/>
  </r>
  <r>
    <n v="10.199999999999999"/>
    <n v="0.64500000000000002"/>
    <n v="0.36"/>
    <n v="1.8"/>
    <n v="5.2999999999999999E-2"/>
    <n v="5"/>
    <n v="14"/>
    <n v="0.99819999999999998"/>
    <n v="3.17"/>
    <n v="0.42"/>
    <n v="10"/>
    <n v="6"/>
    <x v="0"/>
  </r>
  <r>
    <n v="11.6"/>
    <n v="0.32"/>
    <n v="0.55000000000000004"/>
    <n v="2.8"/>
    <n v="8.1000000000000003E-2"/>
    <n v="35"/>
    <n v="67"/>
    <n v="1.0002"/>
    <n v="3.32"/>
    <n v="0.92"/>
    <n v="10.8"/>
    <n v="7"/>
    <x v="1"/>
  </r>
  <r>
    <n v="9.3000000000000007"/>
    <n v="0.39"/>
    <n v="0.4"/>
    <n v="2.6"/>
    <n v="7.2999999999999995E-2"/>
    <n v="10"/>
    <n v="26"/>
    <n v="0.99839999999999995"/>
    <n v="3.34"/>
    <n v="0.75"/>
    <n v="10.199999999999999"/>
    <n v="6"/>
    <x v="0"/>
  </r>
  <r>
    <n v="9.3000000000000007"/>
    <n v="0.77500000000000002"/>
    <n v="0.27"/>
    <n v="2.8"/>
    <n v="7.8E-2"/>
    <n v="24"/>
    <n v="56"/>
    <n v="0.99839999999999995"/>
    <n v="3.31"/>
    <n v="0.67"/>
    <n v="10.6"/>
    <n v="6"/>
    <x v="0"/>
  </r>
  <r>
    <n v="9.1999999999999993"/>
    <n v="0.41"/>
    <n v="0.5"/>
    <n v="2.5"/>
    <n v="5.5E-2"/>
    <n v="12"/>
    <n v="25"/>
    <n v="0.99519999999999997"/>
    <n v="3.34"/>
    <n v="0.79"/>
    <n v="13.3"/>
    <n v="7"/>
    <x v="1"/>
  </r>
  <r>
    <n v="8.9"/>
    <n v="0.4"/>
    <n v="0.51"/>
    <n v="2.6"/>
    <n v="5.1999999999999998E-2"/>
    <n v="13"/>
    <n v="27"/>
    <n v="0.995"/>
    <n v="3.32"/>
    <n v="0.9"/>
    <n v="13.4"/>
    <n v="7"/>
    <x v="1"/>
  </r>
  <r>
    <n v="8.6999999999999993"/>
    <n v="0.69"/>
    <n v="0.31"/>
    <n v="3"/>
    <n v="8.5999999999999993E-2"/>
    <n v="23"/>
    <n v="81"/>
    <n v="1.0002"/>
    <n v="3.48"/>
    <n v="0.74"/>
    <n v="11.6"/>
    <n v="6"/>
    <x v="0"/>
  </r>
  <r>
    <n v="6.5"/>
    <n v="0.39"/>
    <n v="0.23"/>
    <n v="8.3000000000000007"/>
    <n v="5.0999999999999997E-2"/>
    <n v="28"/>
    <n v="91"/>
    <n v="0.99519999999999997"/>
    <n v="3.44"/>
    <n v="0.55000000000000004"/>
    <n v="12.1"/>
    <n v="6"/>
    <x v="0"/>
  </r>
  <r>
    <n v="10.7"/>
    <n v="0.35"/>
    <n v="0.53"/>
    <n v="2.6"/>
    <n v="7.0000000000000007E-2"/>
    <n v="5"/>
    <n v="16"/>
    <n v="0.99719999999999998"/>
    <n v="3.15"/>
    <n v="0.65"/>
    <n v="11"/>
    <n v="8"/>
    <x v="1"/>
  </r>
  <r>
    <n v="7.8"/>
    <n v="0.52"/>
    <n v="0.25"/>
    <n v="1.9"/>
    <n v="8.1000000000000003E-2"/>
    <n v="14"/>
    <n v="38"/>
    <n v="0.99839999999999995"/>
    <n v="3.43"/>
    <n v="0.65"/>
    <n v="9"/>
    <n v="6"/>
    <x v="0"/>
  </r>
  <r>
    <n v="7.2"/>
    <n v="0.34"/>
    <n v="0.32"/>
    <n v="2.5"/>
    <n v="0.09"/>
    <n v="43"/>
    <n v="113"/>
    <n v="0.99660000000000004"/>
    <n v="3.32"/>
    <n v="0.79"/>
    <n v="11.1"/>
    <n v="5"/>
    <x v="0"/>
  </r>
  <r>
    <n v="10.7"/>
    <n v="0.35"/>
    <n v="0.53"/>
    <n v="2.6"/>
    <n v="7.0000000000000007E-2"/>
    <n v="5"/>
    <n v="16"/>
    <n v="0.99719999999999998"/>
    <n v="3.15"/>
    <n v="0.65"/>
    <n v="11"/>
    <n v="8"/>
    <x v="1"/>
  </r>
  <r>
    <n v="8.6999999999999993"/>
    <n v="0.69"/>
    <n v="0.31"/>
    <n v="3"/>
    <n v="8.5999999999999993E-2"/>
    <n v="23"/>
    <n v="81"/>
    <n v="1.0002"/>
    <n v="3.48"/>
    <n v="0.74"/>
    <n v="11.6"/>
    <n v="6"/>
    <x v="0"/>
  </r>
  <r>
    <n v="7.8"/>
    <n v="0.52"/>
    <n v="0.25"/>
    <n v="1.9"/>
    <n v="8.1000000000000003E-2"/>
    <n v="14"/>
    <n v="38"/>
    <n v="0.99839999999999995"/>
    <n v="3.43"/>
    <n v="0.65"/>
    <n v="9"/>
    <n v="6"/>
    <x v="0"/>
  </r>
  <r>
    <n v="10.4"/>
    <n v="0.44"/>
    <n v="0.73"/>
    <n v="6.55"/>
    <n v="7.3999999999999996E-2"/>
    <n v="38"/>
    <n v="76"/>
    <n v="0.999"/>
    <n v="3.17"/>
    <n v="0.85"/>
    <n v="12"/>
    <n v="7"/>
    <x v="1"/>
  </r>
  <r>
    <n v="10.4"/>
    <n v="0.44"/>
    <n v="0.73"/>
    <n v="6.55"/>
    <n v="7.3999999999999996E-2"/>
    <n v="38"/>
    <n v="76"/>
    <n v="0.999"/>
    <n v="3.17"/>
    <n v="0.85"/>
    <n v="12"/>
    <n v="7"/>
    <x v="1"/>
  </r>
  <r>
    <n v="10.5"/>
    <n v="0.26"/>
    <n v="0.47"/>
    <n v="1.9"/>
    <n v="7.8E-2"/>
    <n v="6"/>
    <n v="24"/>
    <n v="0.99760000000000004"/>
    <n v="3.18"/>
    <n v="1.04"/>
    <n v="10.9"/>
    <n v="7"/>
    <x v="1"/>
  </r>
  <r>
    <n v="10.5"/>
    <n v="0.24"/>
    <n v="0.42"/>
    <n v="1.8"/>
    <n v="7.6999999999999999E-2"/>
    <n v="6"/>
    <n v="22"/>
    <n v="0.99760000000000004"/>
    <n v="3.21"/>
    <n v="1.05"/>
    <n v="10.8"/>
    <n v="7"/>
    <x v="1"/>
  </r>
  <r>
    <n v="10.199999999999999"/>
    <n v="0.49"/>
    <n v="0.63"/>
    <n v="2.9"/>
    <n v="7.1999999999999995E-2"/>
    <n v="10"/>
    <n v="26"/>
    <n v="0.99680000000000002"/>
    <n v="3.16"/>
    <n v="0.78"/>
    <n v="12.5"/>
    <n v="7"/>
    <x v="1"/>
  </r>
  <r>
    <n v="10.4"/>
    <n v="0.24"/>
    <n v="0.46"/>
    <n v="1.8"/>
    <n v="7.4999999999999997E-2"/>
    <n v="6"/>
    <n v="21"/>
    <n v="0.99760000000000004"/>
    <n v="3.25"/>
    <n v="1.02"/>
    <n v="10.8"/>
    <n v="7"/>
    <x v="1"/>
  </r>
  <r>
    <n v="11.2"/>
    <n v="0.67"/>
    <n v="0.55000000000000004"/>
    <n v="2.2999999999999998"/>
    <n v="8.4000000000000005E-2"/>
    <n v="6"/>
    <n v="13"/>
    <n v="1"/>
    <n v="3.17"/>
    <n v="0.71"/>
    <n v="9.5"/>
    <n v="6"/>
    <x v="0"/>
  </r>
  <r>
    <n v="10"/>
    <n v="0.59"/>
    <n v="0.31"/>
    <n v="2.2000000000000002"/>
    <n v="0.09"/>
    <n v="26"/>
    <n v="62"/>
    <n v="0.99939999999999996"/>
    <n v="3.18"/>
    <n v="0.63"/>
    <n v="10.199999999999999"/>
    <n v="6"/>
    <x v="0"/>
  </r>
  <r>
    <n v="13.3"/>
    <n v="0.28999999999999998"/>
    <n v="0.75"/>
    <n v="2.8"/>
    <n v="8.4000000000000005E-2"/>
    <n v="23"/>
    <n v="43"/>
    <n v="0.99860000000000004"/>
    <n v="3.04"/>
    <n v="0.68"/>
    <n v="11.4"/>
    <n v="7"/>
    <x v="1"/>
  </r>
  <r>
    <n v="12.4"/>
    <n v="0.42"/>
    <n v="0.49"/>
    <n v="4.5999999999999996"/>
    <n v="7.2999999999999995E-2"/>
    <n v="19"/>
    <n v="43"/>
    <n v="0.99780000000000002"/>
    <n v="3.02"/>
    <n v="0.61"/>
    <n v="9.5"/>
    <n v="5"/>
    <x v="0"/>
  </r>
  <r>
    <n v="10"/>
    <n v="0.59"/>
    <n v="0.31"/>
    <n v="2.2000000000000002"/>
    <n v="0.09"/>
    <n v="26"/>
    <n v="62"/>
    <n v="0.99939999999999996"/>
    <n v="3.18"/>
    <n v="0.63"/>
    <n v="10.199999999999999"/>
    <n v="6"/>
    <x v="0"/>
  </r>
  <r>
    <n v="10.7"/>
    <n v="0.4"/>
    <n v="0.48"/>
    <n v="2.1"/>
    <n v="0.125"/>
    <n v="15"/>
    <n v="49"/>
    <n v="0.998"/>
    <n v="3.03"/>
    <n v="0.81"/>
    <n v="9.6999999999999993"/>
    <n v="6"/>
    <x v="0"/>
  </r>
  <r>
    <n v="10.5"/>
    <n v="0.51"/>
    <n v="0.64"/>
    <n v="2.4"/>
    <n v="0.107"/>
    <n v="6"/>
    <n v="15"/>
    <n v="0.99729999999999996"/>
    <n v="3.09"/>
    <n v="0.66"/>
    <n v="11.8"/>
    <n v="7"/>
    <x v="1"/>
  </r>
  <r>
    <n v="10.5"/>
    <n v="0.51"/>
    <n v="0.64"/>
    <n v="2.4"/>
    <n v="0.107"/>
    <n v="6"/>
    <n v="15"/>
    <n v="0.99729999999999996"/>
    <n v="3.09"/>
    <n v="0.66"/>
    <n v="11.8"/>
    <n v="7"/>
    <x v="1"/>
  </r>
  <r>
    <n v="8.5"/>
    <n v="0.65500000000000003"/>
    <n v="0.49"/>
    <n v="6.1"/>
    <n v="0.122"/>
    <n v="34"/>
    <n v="151"/>
    <n v="1.0009999999999999"/>
    <n v="3.31"/>
    <n v="1.1399999999999999"/>
    <n v="9.3000000000000007"/>
    <n v="5"/>
    <x v="0"/>
  </r>
  <r>
    <n v="12.5"/>
    <n v="0.6"/>
    <n v="0.49"/>
    <n v="4.3"/>
    <n v="0.1"/>
    <n v="5"/>
    <n v="14"/>
    <n v="1.0009999999999999"/>
    <n v="3.25"/>
    <n v="0.74"/>
    <n v="11.9"/>
    <n v="6"/>
    <x v="0"/>
  </r>
  <r>
    <n v="10.4"/>
    <n v="0.61"/>
    <n v="0.49"/>
    <n v="2.1"/>
    <n v="0.2"/>
    <n v="5"/>
    <n v="16"/>
    <n v="0.99939999999999996"/>
    <n v="3.16"/>
    <n v="0.63"/>
    <n v="8.4"/>
    <n v="3"/>
    <x v="2"/>
  </r>
  <r>
    <n v="10.9"/>
    <n v="0.21"/>
    <n v="0.49"/>
    <n v="2.8"/>
    <n v="8.7999999999999995E-2"/>
    <n v="11"/>
    <n v="32"/>
    <n v="0.99719999999999998"/>
    <n v="3.22"/>
    <n v="0.68"/>
    <n v="11.7"/>
    <n v="6"/>
    <x v="0"/>
  </r>
  <r>
    <n v="7.3"/>
    <n v="0.36499999999999999"/>
    <n v="0.49"/>
    <n v="2.5"/>
    <n v="8.7999999999999995E-2"/>
    <n v="39"/>
    <n v="106"/>
    <n v="0.99660000000000004"/>
    <n v="3.36"/>
    <n v="0.78"/>
    <n v="11"/>
    <n v="5"/>
    <x v="0"/>
  </r>
  <r>
    <n v="9.8000000000000007"/>
    <n v="0.25"/>
    <n v="0.49"/>
    <n v="2.7"/>
    <n v="8.7999999999999995E-2"/>
    <n v="15"/>
    <n v="33"/>
    <n v="0.99819999999999998"/>
    <n v="3.42"/>
    <n v="0.9"/>
    <n v="10"/>
    <n v="6"/>
    <x v="0"/>
  </r>
  <r>
    <n v="7.6"/>
    <n v="0.41"/>
    <n v="0.49"/>
    <n v="2"/>
    <n v="8.7999999999999995E-2"/>
    <n v="16"/>
    <n v="43"/>
    <n v="0.998"/>
    <n v="3.48"/>
    <n v="0.64"/>
    <n v="9.1"/>
    <n v="5"/>
    <x v="0"/>
  </r>
  <r>
    <n v="8.1999999999999993"/>
    <n v="0.39"/>
    <n v="0.49"/>
    <n v="2.2999999999999998"/>
    <n v="9.9000000000000005E-2"/>
    <n v="47"/>
    <n v="133"/>
    <n v="0.99790000000000001"/>
    <n v="3.38"/>
    <n v="0.99"/>
    <n v="9.8000000000000007"/>
    <n v="5"/>
    <x v="0"/>
  </r>
  <r>
    <n v="9.3000000000000007"/>
    <n v="0.4"/>
    <n v="0.49"/>
    <n v="2.5"/>
    <n v="8.5000000000000006E-2"/>
    <n v="38"/>
    <n v="142"/>
    <n v="0.99780000000000002"/>
    <n v="3.22"/>
    <n v="0.55000000000000004"/>
    <n v="9.4"/>
    <n v="5"/>
    <x v="0"/>
  </r>
  <r>
    <n v="9.1999999999999993"/>
    <n v="0.43"/>
    <n v="0.49"/>
    <n v="2.4"/>
    <n v="8.5999999999999993E-2"/>
    <n v="23"/>
    <n v="116"/>
    <n v="0.99760000000000004"/>
    <n v="3.23"/>
    <n v="0.64"/>
    <n v="9.5"/>
    <n v="5"/>
    <x v="0"/>
  </r>
  <r>
    <n v="10.4"/>
    <n v="0.64"/>
    <n v="0.24"/>
    <n v="2.8"/>
    <n v="0.105"/>
    <n v="29"/>
    <n v="53"/>
    <n v="0.99980000000000002"/>
    <n v="3.24"/>
    <n v="0.67"/>
    <n v="9.9"/>
    <n v="5"/>
    <x v="0"/>
  </r>
  <r>
    <n v="7.3"/>
    <n v="0.36499999999999999"/>
    <n v="0.49"/>
    <n v="2.5"/>
    <n v="8.7999999999999995E-2"/>
    <n v="39"/>
    <n v="106"/>
    <n v="0.99660000000000004"/>
    <n v="3.36"/>
    <n v="0.78"/>
    <n v="11"/>
    <n v="5"/>
    <x v="0"/>
  </r>
  <r>
    <n v="7"/>
    <n v="0.38"/>
    <n v="0.49"/>
    <n v="2.5"/>
    <n v="9.7000000000000003E-2"/>
    <n v="33"/>
    <n v="85"/>
    <n v="0.99619999999999997"/>
    <n v="3.39"/>
    <n v="0.77"/>
    <n v="11.4"/>
    <n v="6"/>
    <x v="0"/>
  </r>
  <r>
    <n v="8.1999999999999993"/>
    <n v="0.42"/>
    <n v="0.49"/>
    <n v="2.6"/>
    <n v="8.4000000000000005E-2"/>
    <n v="32"/>
    <n v="55"/>
    <n v="0.99880000000000002"/>
    <n v="3.34"/>
    <n v="0.75"/>
    <n v="8.6999999999999993"/>
    <n v="6"/>
    <x v="0"/>
  </r>
  <r>
    <n v="9.9"/>
    <n v="0.63"/>
    <n v="0.24"/>
    <n v="2.4"/>
    <n v="7.6999999999999999E-2"/>
    <n v="6"/>
    <n v="33"/>
    <n v="0.99739999999999995"/>
    <n v="3.09"/>
    <n v="0.56999999999999995"/>
    <n v="9.4"/>
    <n v="5"/>
    <x v="0"/>
  </r>
  <r>
    <n v="9.1"/>
    <n v="0.22"/>
    <n v="0.24"/>
    <n v="2.1"/>
    <n v="7.8E-2"/>
    <n v="1"/>
    <n v="28"/>
    <n v="0.999"/>
    <n v="3.41"/>
    <n v="0.87"/>
    <n v="10.3"/>
    <n v="6"/>
    <x v="0"/>
  </r>
  <r>
    <n v="11.9"/>
    <n v="0.38"/>
    <n v="0.49"/>
    <n v="2.7"/>
    <n v="9.8000000000000004E-2"/>
    <n v="12"/>
    <n v="42"/>
    <n v="1.0004"/>
    <n v="3.16"/>
    <n v="0.61"/>
    <n v="10.3"/>
    <n v="5"/>
    <x v="0"/>
  </r>
  <r>
    <n v="11.9"/>
    <n v="0.38"/>
    <n v="0.49"/>
    <n v="2.7"/>
    <n v="9.8000000000000004E-2"/>
    <n v="12"/>
    <n v="42"/>
    <n v="1.0004"/>
    <n v="3.16"/>
    <n v="0.61"/>
    <n v="10.3"/>
    <n v="5"/>
    <x v="0"/>
  </r>
  <r>
    <n v="10.3"/>
    <n v="0.27"/>
    <n v="0.24"/>
    <n v="2.1"/>
    <n v="7.1999999999999995E-2"/>
    <n v="15"/>
    <n v="33"/>
    <n v="0.99560000000000004"/>
    <n v="3.22"/>
    <n v="0.66"/>
    <n v="12.8"/>
    <n v="6"/>
    <x v="0"/>
  </r>
  <r>
    <n v="10"/>
    <n v="0.48"/>
    <n v="0.24"/>
    <n v="2.7"/>
    <n v="0.10199999999999999"/>
    <n v="13"/>
    <n v="32"/>
    <n v="1"/>
    <n v="3.28"/>
    <n v="0.56000000000000005"/>
    <n v="10"/>
    <n v="6"/>
    <x v="0"/>
  </r>
  <r>
    <n v="9.1"/>
    <n v="0.22"/>
    <n v="0.24"/>
    <n v="2.1"/>
    <n v="7.8E-2"/>
    <n v="1"/>
    <n v="28"/>
    <n v="0.999"/>
    <n v="3.41"/>
    <n v="0.87"/>
    <n v="10.3"/>
    <n v="6"/>
    <x v="0"/>
  </r>
  <r>
    <n v="9.9"/>
    <n v="0.63"/>
    <n v="0.24"/>
    <n v="2.4"/>
    <n v="7.6999999999999999E-2"/>
    <n v="6"/>
    <n v="33"/>
    <n v="0.99739999999999995"/>
    <n v="3.09"/>
    <n v="0.56999999999999995"/>
    <n v="9.4"/>
    <n v="5"/>
    <x v="0"/>
  </r>
  <r>
    <n v="8.1"/>
    <n v="0.82499999999999996"/>
    <n v="0.24"/>
    <n v="2.1"/>
    <n v="8.4000000000000005E-2"/>
    <n v="5"/>
    <n v="13"/>
    <n v="0.99719999999999998"/>
    <n v="3.37"/>
    <n v="0.77"/>
    <n v="10.7"/>
    <n v="6"/>
    <x v="0"/>
  </r>
  <r>
    <n v="12.9"/>
    <n v="0.35"/>
    <n v="0.49"/>
    <n v="5.8"/>
    <n v="6.6000000000000003E-2"/>
    <n v="5"/>
    <n v="35"/>
    <n v="1.0014000000000001"/>
    <n v="3.2"/>
    <n v="0.66"/>
    <n v="12"/>
    <n v="7"/>
    <x v="1"/>
  </r>
  <r>
    <n v="11.2"/>
    <n v="0.5"/>
    <n v="0.74"/>
    <n v="5.15"/>
    <n v="0.1"/>
    <n v="5"/>
    <n v="17"/>
    <n v="0.99960000000000004"/>
    <n v="3.22"/>
    <n v="0.62"/>
    <n v="11.2"/>
    <n v="5"/>
    <x v="0"/>
  </r>
  <r>
    <n v="9.1999999999999993"/>
    <n v="0.59"/>
    <n v="0.24"/>
    <n v="3.3"/>
    <n v="0.10100000000000001"/>
    <n v="20"/>
    <n v="47"/>
    <n v="0.99880000000000002"/>
    <n v="3.26"/>
    <n v="0.67"/>
    <n v="9.6"/>
    <n v="5"/>
    <x v="0"/>
  </r>
  <r>
    <n v="9.5"/>
    <n v="0.46"/>
    <n v="0.49"/>
    <n v="6.3"/>
    <n v="6.4000000000000001E-2"/>
    <n v="5"/>
    <n v="17"/>
    <n v="0.99880000000000002"/>
    <n v="3.21"/>
    <n v="0.73"/>
    <n v="11"/>
    <n v="6"/>
    <x v="0"/>
  </r>
  <r>
    <n v="9.3000000000000007"/>
    <n v="0.71499999999999997"/>
    <n v="0.24"/>
    <n v="2.1"/>
    <n v="7.0000000000000007E-2"/>
    <n v="5"/>
    <n v="20"/>
    <n v="0.99660000000000004"/>
    <n v="3.12"/>
    <n v="0.59"/>
    <n v="9.9"/>
    <n v="5"/>
    <x v="0"/>
  </r>
  <r>
    <n v="11.2"/>
    <n v="0.66"/>
    <n v="0.24"/>
    <n v="2.5"/>
    <n v="8.5000000000000006E-2"/>
    <n v="16"/>
    <n v="53"/>
    <n v="0.99929999999999997"/>
    <n v="3.06"/>
    <n v="0.72"/>
    <n v="11"/>
    <n v="6"/>
    <x v="0"/>
  </r>
  <r>
    <n v="14.3"/>
    <n v="0.31"/>
    <n v="0.74"/>
    <n v="1.8"/>
    <n v="7.4999999999999997E-2"/>
    <n v="6"/>
    <n v="15"/>
    <n v="1.0007999999999999"/>
    <n v="2.86"/>
    <n v="0.79"/>
    <n v="8.4"/>
    <n v="6"/>
    <x v="0"/>
  </r>
  <r>
    <n v="9.1"/>
    <n v="0.47"/>
    <n v="0.49"/>
    <n v="2.6"/>
    <n v="9.4E-2"/>
    <n v="38"/>
    <n v="106"/>
    <n v="0.99819999999999998"/>
    <n v="3.08"/>
    <n v="0.59"/>
    <n v="9.1"/>
    <n v="5"/>
    <x v="0"/>
  </r>
  <r>
    <n v="7.5"/>
    <n v="0.55000000000000004"/>
    <n v="0.24"/>
    <n v="2"/>
    <n v="7.8E-2"/>
    <n v="10"/>
    <n v="28"/>
    <n v="0.99829999999999997"/>
    <n v="3.45"/>
    <n v="0.78"/>
    <n v="9.5"/>
    <n v="6"/>
    <x v="0"/>
  </r>
  <r>
    <n v="10.6"/>
    <n v="0.31"/>
    <n v="0.49"/>
    <n v="2.5"/>
    <n v="6.7000000000000004E-2"/>
    <n v="6"/>
    <n v="21"/>
    <n v="0.99870000000000003"/>
    <n v="3.26"/>
    <n v="0.86"/>
    <n v="10.7"/>
    <n v="6"/>
    <x v="0"/>
  </r>
  <r>
    <n v="12.4"/>
    <n v="0.35"/>
    <n v="0.49"/>
    <n v="2.6"/>
    <n v="7.9000000000000001E-2"/>
    <n v="27"/>
    <n v="69"/>
    <n v="0.99939999999999996"/>
    <n v="3.12"/>
    <n v="0.75"/>
    <n v="10.4"/>
    <n v="6"/>
    <x v="0"/>
  </r>
  <r>
    <n v="9"/>
    <n v="0.53"/>
    <n v="0.49"/>
    <n v="1.9"/>
    <n v="0.17100000000000001"/>
    <n v="6"/>
    <n v="25"/>
    <n v="0.99750000000000005"/>
    <n v="3.27"/>
    <n v="0.61"/>
    <n v="9.4"/>
    <n v="6"/>
    <x v="0"/>
  </r>
  <r>
    <n v="6.8"/>
    <n v="0.51"/>
    <n v="0.01"/>
    <n v="2.1"/>
    <n v="7.3999999999999996E-2"/>
    <n v="9"/>
    <n v="25"/>
    <n v="0.99580000000000002"/>
    <n v="3.33"/>
    <n v="0.56000000000000005"/>
    <n v="9.5"/>
    <n v="6"/>
    <x v="0"/>
  </r>
  <r>
    <n v="9.4"/>
    <n v="0.43"/>
    <n v="0.24"/>
    <n v="2.8"/>
    <n v="9.1999999999999998E-2"/>
    <n v="14"/>
    <n v="45"/>
    <n v="0.998"/>
    <n v="3.19"/>
    <n v="0.73"/>
    <n v="10"/>
    <n v="6"/>
    <x v="0"/>
  </r>
  <r>
    <n v="9.5"/>
    <n v="0.46"/>
    <n v="0.24"/>
    <n v="2.7"/>
    <n v="9.1999999999999998E-2"/>
    <n v="14"/>
    <n v="44"/>
    <n v="0.998"/>
    <n v="3.12"/>
    <n v="0.74"/>
    <n v="10"/>
    <n v="6"/>
    <x v="0"/>
  </r>
  <r>
    <n v="5"/>
    <n v="1.04"/>
    <n v="0.24"/>
    <n v="1.6"/>
    <n v="0.05"/>
    <n v="32"/>
    <n v="96"/>
    <n v="0.99339999999999995"/>
    <n v="3.74"/>
    <n v="0.62"/>
    <n v="11.5"/>
    <n v="5"/>
    <x v="0"/>
  </r>
  <r>
    <n v="15.5"/>
    <n v="0.64500000000000002"/>
    <n v="0.49"/>
    <n v="4.2"/>
    <n v="9.5000000000000001E-2"/>
    <n v="10"/>
    <n v="23"/>
    <n v="1.00315"/>
    <n v="2.92"/>
    <n v="0.74"/>
    <n v="11.1"/>
    <n v="5"/>
    <x v="0"/>
  </r>
  <r>
    <n v="15.5"/>
    <n v="0.64500000000000002"/>
    <n v="0.49"/>
    <n v="4.2"/>
    <n v="9.5000000000000001E-2"/>
    <n v="10"/>
    <n v="23"/>
    <n v="1.00315"/>
    <n v="2.92"/>
    <n v="0.74"/>
    <n v="11.1"/>
    <n v="5"/>
    <x v="0"/>
  </r>
  <r>
    <n v="10.9"/>
    <n v="0.53"/>
    <n v="0.49"/>
    <n v="4.5999999999999996"/>
    <n v="0.11799999999999999"/>
    <n v="10"/>
    <n v="17"/>
    <n v="1.0002"/>
    <n v="3.07"/>
    <n v="0.56000000000000005"/>
    <n v="11.7"/>
    <n v="6"/>
    <x v="0"/>
  </r>
  <r>
    <n v="15.6"/>
    <n v="0.64500000000000002"/>
    <n v="0.49"/>
    <n v="4.2"/>
    <n v="9.5000000000000001E-2"/>
    <n v="10"/>
    <n v="23"/>
    <n v="1.00315"/>
    <n v="2.92"/>
    <n v="0.74"/>
    <n v="11.1"/>
    <n v="5"/>
    <x v="0"/>
  </r>
  <r>
    <n v="10.9"/>
    <n v="0.53"/>
    <n v="0.49"/>
    <n v="4.5999999999999996"/>
    <n v="0.11799999999999999"/>
    <n v="10"/>
    <n v="17"/>
    <n v="1.0002"/>
    <n v="3.07"/>
    <n v="0.56000000000000005"/>
    <n v="11.7"/>
    <n v="6"/>
    <x v="0"/>
  </r>
  <r>
    <n v="13"/>
    <n v="0.47"/>
    <n v="0.49"/>
    <n v="4.3"/>
    <n v="8.5000000000000006E-2"/>
    <n v="6"/>
    <n v="47"/>
    <n v="1.0021"/>
    <n v="3.3"/>
    <n v="0.68"/>
    <n v="12.7"/>
    <n v="6"/>
    <x v="0"/>
  </r>
  <r>
    <n v="12.7"/>
    <n v="0.6"/>
    <n v="0.49"/>
    <n v="2.8"/>
    <n v="7.4999999999999997E-2"/>
    <n v="5"/>
    <n v="19"/>
    <n v="0.99939999999999996"/>
    <n v="3.14"/>
    <n v="0.56999999999999995"/>
    <n v="11.4"/>
    <n v="5"/>
    <x v="0"/>
  </r>
  <r>
    <n v="9"/>
    <n v="0.44"/>
    <n v="0.49"/>
    <n v="2.4"/>
    <n v="7.8E-2"/>
    <n v="26"/>
    <n v="121"/>
    <n v="0.99780000000000002"/>
    <n v="3.23"/>
    <n v="0.57999999999999996"/>
    <n v="9.1999999999999993"/>
    <n v="5"/>
    <x v="0"/>
  </r>
  <r>
    <n v="9"/>
    <n v="0.54"/>
    <n v="0.49"/>
    <n v="2.9"/>
    <n v="9.4E-2"/>
    <n v="41"/>
    <n v="110"/>
    <n v="0.99819999999999998"/>
    <n v="3.08"/>
    <n v="0.61"/>
    <n v="9.1999999999999993"/>
    <n v="5"/>
    <x v="0"/>
  </r>
  <r>
    <n v="7.6"/>
    <n v="0.28999999999999998"/>
    <n v="0.49"/>
    <n v="2.7"/>
    <n v="9.1999999999999998E-2"/>
    <n v="25"/>
    <n v="60"/>
    <n v="0.99709999999999999"/>
    <n v="3.31"/>
    <n v="0.61"/>
    <n v="10.1"/>
    <n v="6"/>
    <x v="0"/>
  </r>
  <r>
    <n v="13"/>
    <n v="0.47"/>
    <n v="0.49"/>
    <n v="4.3"/>
    <n v="8.5000000000000006E-2"/>
    <n v="6"/>
    <n v="47"/>
    <n v="1.0021"/>
    <n v="3.3"/>
    <n v="0.68"/>
    <n v="12.7"/>
    <n v="6"/>
    <x v="0"/>
  </r>
  <r>
    <n v="12.7"/>
    <n v="0.6"/>
    <n v="0.49"/>
    <n v="2.8"/>
    <n v="7.4999999999999997E-2"/>
    <n v="5"/>
    <n v="19"/>
    <n v="0.99939999999999996"/>
    <n v="3.14"/>
    <n v="0.56999999999999995"/>
    <n v="11.4"/>
    <n v="5"/>
    <x v="0"/>
  </r>
  <r>
    <n v="8.6999999999999993"/>
    <n v="0.7"/>
    <n v="0.24"/>
    <n v="2.5"/>
    <n v="0.22600000000000001"/>
    <n v="5"/>
    <n v="15"/>
    <n v="0.99909999999999999"/>
    <n v="3.32"/>
    <n v="0.6"/>
    <n v="9"/>
    <n v="6"/>
    <x v="0"/>
  </r>
  <r>
    <n v="8.6999999999999993"/>
    <n v="0.7"/>
    <n v="0.24"/>
    <n v="2.5"/>
    <n v="0.22600000000000001"/>
    <n v="5"/>
    <n v="15"/>
    <n v="0.99909999999999999"/>
    <n v="3.32"/>
    <n v="0.6"/>
    <n v="9"/>
    <n v="6"/>
    <x v="0"/>
  </r>
  <r>
    <n v="9.8000000000000007"/>
    <n v="0.5"/>
    <n v="0.49"/>
    <n v="2.6"/>
    <n v="0.25"/>
    <n v="5"/>
    <n v="20"/>
    <n v="0.999"/>
    <n v="3.31"/>
    <n v="0.79"/>
    <n v="10.7"/>
    <n v="6"/>
    <x v="0"/>
  </r>
  <r>
    <n v="6.2"/>
    <n v="0.36"/>
    <n v="0.24"/>
    <n v="2.2000000000000002"/>
    <n v="9.5000000000000001E-2"/>
    <n v="19"/>
    <n v="42"/>
    <n v="0.99460000000000004"/>
    <n v="3.57"/>
    <n v="0.56999999999999995"/>
    <n v="11.7"/>
    <n v="6"/>
    <x v="0"/>
  </r>
  <r>
    <n v="11.5"/>
    <n v="0.35"/>
    <n v="0.49"/>
    <n v="3.3"/>
    <n v="7.0000000000000007E-2"/>
    <n v="10"/>
    <n v="37"/>
    <n v="1.0003"/>
    <n v="3.32"/>
    <n v="0.91"/>
    <n v="11"/>
    <n v="6"/>
    <x v="0"/>
  </r>
  <r>
    <n v="6.2"/>
    <n v="0.36"/>
    <n v="0.24"/>
    <n v="2.2000000000000002"/>
    <n v="9.5000000000000001E-2"/>
    <n v="19"/>
    <n v="42"/>
    <n v="0.99460000000000004"/>
    <n v="3.57"/>
    <n v="0.56999999999999995"/>
    <n v="11.7"/>
    <n v="6"/>
    <x v="0"/>
  </r>
  <r>
    <n v="10.199999999999999"/>
    <n v="0.24"/>
    <n v="0.49"/>
    <n v="2.4"/>
    <n v="7.4999999999999997E-2"/>
    <n v="10"/>
    <n v="28"/>
    <n v="0.99780000000000002"/>
    <n v="3.14"/>
    <n v="0.61"/>
    <n v="10.4"/>
    <n v="5"/>
    <x v="0"/>
  </r>
  <r>
    <n v="10.5"/>
    <n v="0.59"/>
    <n v="0.49"/>
    <n v="2.1"/>
    <n v="7.0000000000000007E-2"/>
    <n v="14"/>
    <n v="47"/>
    <n v="0.99909999999999999"/>
    <n v="3.3"/>
    <n v="0.56000000000000005"/>
    <n v="9.6"/>
    <n v="4"/>
    <x v="2"/>
  </r>
  <r>
    <n v="10.6"/>
    <n v="0.34"/>
    <n v="0.49"/>
    <n v="3.2"/>
    <n v="7.8E-2"/>
    <n v="20"/>
    <n v="78"/>
    <n v="0.99919999999999998"/>
    <n v="3.19"/>
    <n v="0.7"/>
    <n v="10"/>
    <n v="6"/>
    <x v="0"/>
  </r>
  <r>
    <n v="12.3"/>
    <n v="0.27"/>
    <n v="0.49"/>
    <n v="3.1"/>
    <n v="7.9000000000000001E-2"/>
    <n v="28"/>
    <n v="46"/>
    <n v="0.99929999999999997"/>
    <n v="3.2"/>
    <n v="0.8"/>
    <n v="10.199999999999999"/>
    <n v="6"/>
    <x v="0"/>
  </r>
  <r>
    <n v="9.9"/>
    <n v="0.5"/>
    <n v="0.24"/>
    <n v="2.2999999999999998"/>
    <n v="0.10299999999999999"/>
    <n v="6"/>
    <n v="14"/>
    <n v="0.99780000000000002"/>
    <n v="3.34"/>
    <n v="0.52"/>
    <n v="10"/>
    <n v="4"/>
    <x v="2"/>
  </r>
  <r>
    <n v="8.8000000000000007"/>
    <n v="0.44"/>
    <n v="0.49"/>
    <n v="2.8"/>
    <n v="8.3000000000000004E-2"/>
    <n v="18"/>
    <n v="111"/>
    <n v="0.99819999999999998"/>
    <n v="3.3"/>
    <n v="0.6"/>
    <n v="9.5"/>
    <n v="5"/>
    <x v="0"/>
  </r>
  <r>
    <n v="8.8000000000000007"/>
    <n v="0.47"/>
    <n v="0.49"/>
    <n v="2.9"/>
    <n v="8.5000000000000006E-2"/>
    <n v="17"/>
    <n v="110"/>
    <n v="0.99819999999999998"/>
    <n v="3.29"/>
    <n v="0.6"/>
    <n v="9.8000000000000007"/>
    <n v="5"/>
    <x v="0"/>
  </r>
  <r>
    <n v="10.6"/>
    <n v="0.31"/>
    <n v="0.49"/>
    <n v="2.2000000000000002"/>
    <n v="6.3E-2"/>
    <n v="18"/>
    <n v="40"/>
    <n v="0.99760000000000004"/>
    <n v="3.14"/>
    <n v="0.51"/>
    <n v="9.8000000000000007"/>
    <n v="6"/>
    <x v="0"/>
  </r>
  <r>
    <n v="12.3"/>
    <n v="0.5"/>
    <n v="0.49"/>
    <n v="2.2000000000000002"/>
    <n v="8.8999999999999996E-2"/>
    <n v="5"/>
    <n v="14"/>
    <n v="1.0002"/>
    <n v="3.19"/>
    <n v="0.44"/>
    <n v="9.6"/>
    <n v="5"/>
    <x v="0"/>
  </r>
  <r>
    <n v="12.3"/>
    <n v="0.5"/>
    <n v="0.49"/>
    <n v="2.2000000000000002"/>
    <n v="8.8999999999999996E-2"/>
    <n v="5"/>
    <n v="14"/>
    <n v="1.0002"/>
    <n v="3.19"/>
    <n v="0.44"/>
    <n v="9.6"/>
    <n v="5"/>
    <x v="0"/>
  </r>
  <r>
    <n v="11.7"/>
    <n v="0.49"/>
    <n v="0.49"/>
    <n v="2.2000000000000002"/>
    <n v="8.3000000000000004E-2"/>
    <n v="5"/>
    <n v="15"/>
    <n v="1"/>
    <n v="3.19"/>
    <n v="0.43"/>
    <n v="9.1999999999999993"/>
    <n v="5"/>
    <x v="0"/>
  </r>
  <r>
    <n v="12"/>
    <n v="0.28000000000000003"/>
    <n v="0.49"/>
    <n v="1.9"/>
    <n v="7.3999999999999996E-2"/>
    <n v="10"/>
    <n v="21"/>
    <n v="0.99760000000000004"/>
    <n v="2.98"/>
    <n v="0.66"/>
    <n v="9.9"/>
    <n v="7"/>
    <x v="1"/>
  </r>
  <r>
    <n v="11.8"/>
    <n v="0.33"/>
    <n v="0.49"/>
    <n v="3.4"/>
    <n v="9.2999999999999999E-2"/>
    <n v="54"/>
    <n v="80"/>
    <n v="1.0002"/>
    <n v="3.3"/>
    <n v="0.76"/>
    <n v="10.7"/>
    <n v="7"/>
    <x v="1"/>
  </r>
  <r>
    <n v="7.6"/>
    <n v="0.51"/>
    <n v="0.24"/>
    <n v="2.4"/>
    <n v="9.0999999999999998E-2"/>
    <n v="8"/>
    <n v="38"/>
    <n v="0.998"/>
    <n v="3.47"/>
    <n v="0.66"/>
    <n v="9.6"/>
    <n v="6"/>
    <x v="0"/>
  </r>
  <r>
    <n v="11.1"/>
    <n v="0.31"/>
    <n v="0.49"/>
    <n v="2.7"/>
    <n v="9.4E-2"/>
    <n v="16"/>
    <n v="47"/>
    <n v="0.99860000000000004"/>
    <n v="3.12"/>
    <n v="1.02"/>
    <n v="10.6"/>
    <n v="7"/>
    <x v="1"/>
  </r>
  <r>
    <n v="7.3"/>
    <n v="0.73"/>
    <n v="0.24"/>
    <n v="1.9"/>
    <n v="0.108"/>
    <n v="18"/>
    <n v="102"/>
    <n v="0.99670000000000003"/>
    <n v="3.26"/>
    <n v="0.59"/>
    <n v="9.3000000000000007"/>
    <n v="5"/>
    <x v="0"/>
  </r>
  <r>
    <n v="5"/>
    <n v="0.42"/>
    <n v="0.24"/>
    <n v="2"/>
    <n v="0.06"/>
    <n v="19"/>
    <n v="50"/>
    <n v="0.99170000000000003"/>
    <n v="3.72"/>
    <n v="0.74"/>
    <n v="14"/>
    <n v="8"/>
    <x v="1"/>
  </r>
  <r>
    <n v="10.199999999999999"/>
    <n v="0.28999999999999998"/>
    <n v="0.49"/>
    <n v="2.6"/>
    <n v="5.8999999999999997E-2"/>
    <n v="5"/>
    <n v="13"/>
    <n v="0.99760000000000004"/>
    <n v="3.05"/>
    <n v="0.74"/>
    <n v="10.5"/>
    <n v="7"/>
    <x v="1"/>
  </r>
  <r>
    <n v="9"/>
    <n v="0.45"/>
    <n v="0.49"/>
    <n v="2.6"/>
    <n v="8.4000000000000005E-2"/>
    <n v="21"/>
    <n v="75"/>
    <n v="0.99870000000000003"/>
    <n v="3.35"/>
    <n v="0.56999999999999995"/>
    <n v="9.6999999999999993"/>
    <n v="5"/>
    <x v="0"/>
  </r>
  <r>
    <n v="6.6"/>
    <n v="0.39"/>
    <n v="0.49"/>
    <n v="1.7"/>
    <n v="7.0000000000000007E-2"/>
    <n v="23"/>
    <n v="149"/>
    <n v="0.99219999999999997"/>
    <n v="3.12"/>
    <n v="0.5"/>
    <n v="11.5"/>
    <n v="6"/>
    <x v="0"/>
  </r>
  <r>
    <n v="9"/>
    <n v="0.45"/>
    <n v="0.49"/>
    <n v="2.6"/>
    <n v="8.4000000000000005E-2"/>
    <n v="21"/>
    <n v="75"/>
    <n v="0.99870000000000003"/>
    <n v="3.35"/>
    <n v="0.56999999999999995"/>
    <n v="9.6999999999999993"/>
    <n v="5"/>
    <x v="0"/>
  </r>
  <r>
    <n v="9.9"/>
    <n v="0.49"/>
    <n v="0.57999999999999996"/>
    <n v="3.5"/>
    <n v="9.4E-2"/>
    <n v="9"/>
    <n v="43"/>
    <n v="1.0004"/>
    <n v="3.29"/>
    <n v="0.57999999999999996"/>
    <n v="9"/>
    <n v="5"/>
    <x v="0"/>
  </r>
  <r>
    <n v="7.9"/>
    <n v="0.72"/>
    <n v="0.17"/>
    <n v="2.6"/>
    <n v="9.6000000000000002E-2"/>
    <n v="20"/>
    <n v="38"/>
    <n v="0.99780000000000002"/>
    <n v="3.4"/>
    <n v="0.53"/>
    <n v="9.5"/>
    <n v="5"/>
    <x v="0"/>
  </r>
  <r>
    <n v="8.9"/>
    <n v="0.59499999999999997"/>
    <n v="0.41"/>
    <n v="7.9"/>
    <n v="8.5999999999999993E-2"/>
    <n v="30"/>
    <n v="109"/>
    <n v="0.99980000000000002"/>
    <n v="3.27"/>
    <n v="0.56999999999999995"/>
    <n v="9.3000000000000007"/>
    <n v="5"/>
    <x v="0"/>
  </r>
  <r>
    <n v="12.4"/>
    <n v="0.4"/>
    <n v="0.51"/>
    <n v="2"/>
    <n v="5.8999999999999997E-2"/>
    <n v="6"/>
    <n v="24"/>
    <n v="0.99939999999999996"/>
    <n v="3.04"/>
    <n v="0.6"/>
    <n v="9.3000000000000007"/>
    <n v="6"/>
    <x v="0"/>
  </r>
  <r>
    <n v="11.9"/>
    <n v="0.57999999999999996"/>
    <n v="0.57999999999999996"/>
    <n v="1.9"/>
    <n v="7.0999999999999994E-2"/>
    <n v="5"/>
    <n v="18"/>
    <n v="0.998"/>
    <n v="3.09"/>
    <n v="0.63"/>
    <n v="10"/>
    <n v="6"/>
    <x v="0"/>
  </r>
  <r>
    <n v="8.5"/>
    <n v="0.58499999999999996"/>
    <n v="0.18"/>
    <n v="2.1"/>
    <n v="7.8E-2"/>
    <n v="5"/>
    <n v="30"/>
    <n v="0.99670000000000003"/>
    <n v="3.2"/>
    <n v="0.48"/>
    <n v="9.8000000000000007"/>
    <n v="6"/>
    <x v="0"/>
  </r>
  <r>
    <n v="12.7"/>
    <n v="0.59"/>
    <n v="0.45"/>
    <n v="2.2999999999999998"/>
    <n v="8.2000000000000003E-2"/>
    <n v="11"/>
    <n v="22"/>
    <n v="1"/>
    <n v="3"/>
    <n v="0.7"/>
    <n v="9.3000000000000007"/>
    <n v="6"/>
    <x v="0"/>
  </r>
  <r>
    <n v="8.1999999999999993"/>
    <n v="0.91500000000000004"/>
    <n v="0.27"/>
    <n v="2.1"/>
    <n v="8.7999999999999995E-2"/>
    <n v="7"/>
    <n v="23"/>
    <n v="0.99619999999999997"/>
    <n v="3.26"/>
    <n v="0.47"/>
    <n v="10"/>
    <n v="4"/>
    <x v="2"/>
  </r>
  <r>
    <n v="13.2"/>
    <n v="0.46"/>
    <n v="0.52"/>
    <n v="2.2000000000000002"/>
    <n v="7.0999999999999994E-2"/>
    <n v="12"/>
    <n v="35"/>
    <n v="1.0005999999999999"/>
    <n v="3.1"/>
    <n v="0.56000000000000005"/>
    <n v="9"/>
    <n v="6"/>
    <x v="0"/>
  </r>
  <r>
    <n v="7.7"/>
    <n v="0.83499999999999996"/>
    <n v="0"/>
    <n v="2.6"/>
    <n v="8.1000000000000003E-2"/>
    <n v="6"/>
    <n v="14"/>
    <n v="0.99750000000000005"/>
    <n v="3.3"/>
    <n v="0.52"/>
    <n v="9.3000000000000007"/>
    <n v="5"/>
    <x v="0"/>
  </r>
  <r>
    <n v="13.2"/>
    <n v="0.46"/>
    <n v="0.52"/>
    <n v="2.2000000000000002"/>
    <n v="7.0999999999999994E-2"/>
    <n v="12"/>
    <n v="35"/>
    <n v="1.0005999999999999"/>
    <n v="3.1"/>
    <n v="0.56000000000000005"/>
    <n v="9"/>
    <n v="6"/>
    <x v="0"/>
  </r>
  <r>
    <n v="8.3000000000000007"/>
    <n v="0.57999999999999996"/>
    <n v="0.13"/>
    <n v="2.9"/>
    <n v="9.6000000000000002E-2"/>
    <n v="14"/>
    <n v="63"/>
    <n v="0.99839999999999995"/>
    <n v="3.17"/>
    <n v="0.62"/>
    <n v="9.1"/>
    <n v="6"/>
    <x v="0"/>
  </r>
  <r>
    <n v="8.3000000000000007"/>
    <n v="0.6"/>
    <n v="0.13"/>
    <n v="2.6"/>
    <n v="8.5000000000000006E-2"/>
    <n v="6"/>
    <n v="24"/>
    <n v="0.99839999999999995"/>
    <n v="3.31"/>
    <n v="0.59"/>
    <n v="9.1999999999999993"/>
    <n v="6"/>
    <x v="0"/>
  </r>
  <r>
    <n v="9.4"/>
    <n v="0.41"/>
    <n v="0.48"/>
    <n v="4.5999999999999996"/>
    <n v="7.1999999999999995E-2"/>
    <n v="10"/>
    <n v="20"/>
    <n v="0.99729999999999996"/>
    <n v="3.34"/>
    <n v="0.79"/>
    <n v="12.2"/>
    <n v="7"/>
    <x v="1"/>
  </r>
  <r>
    <n v="8.8000000000000007"/>
    <n v="0.48"/>
    <n v="0.41"/>
    <n v="3.3"/>
    <n v="9.1999999999999998E-2"/>
    <n v="26"/>
    <n v="52"/>
    <n v="0.99819999999999998"/>
    <n v="3.31"/>
    <n v="0.53"/>
    <n v="10.5"/>
    <n v="6"/>
    <x v="0"/>
  </r>
  <r>
    <n v="10.1"/>
    <n v="0.65"/>
    <n v="0.37"/>
    <n v="5.0999999999999996"/>
    <n v="0.11"/>
    <n v="11"/>
    <n v="65"/>
    <n v="1.0025999999999999"/>
    <n v="3.32"/>
    <n v="0.64"/>
    <n v="10.4"/>
    <n v="6"/>
    <x v="0"/>
  </r>
  <r>
    <n v="6.3"/>
    <n v="0.36"/>
    <n v="0.19"/>
    <n v="3.2"/>
    <n v="7.4999999999999997E-2"/>
    <n v="15"/>
    <n v="39"/>
    <n v="0.99560000000000004"/>
    <n v="3.56"/>
    <n v="0.52"/>
    <n v="12.7"/>
    <n v="6"/>
    <x v="0"/>
  </r>
  <r>
    <n v="8.8000000000000007"/>
    <n v="0.24"/>
    <n v="0.54"/>
    <n v="2.5"/>
    <n v="8.3000000000000004E-2"/>
    <n v="25"/>
    <n v="57"/>
    <n v="0.99829999999999997"/>
    <n v="3.39"/>
    <n v="0.54"/>
    <n v="9.1999999999999993"/>
    <n v="5"/>
    <x v="0"/>
  </r>
  <r>
    <n v="13.2"/>
    <n v="0.38"/>
    <n v="0.55000000000000004"/>
    <n v="2.7"/>
    <n v="8.1000000000000003E-2"/>
    <n v="5"/>
    <n v="16"/>
    <n v="1.0005999999999999"/>
    <n v="2.98"/>
    <n v="0.54"/>
    <n v="9.4"/>
    <n v="5"/>
    <x v="0"/>
  </r>
  <r>
    <n v="7.5"/>
    <n v="0.64"/>
    <n v="0"/>
    <n v="2.4"/>
    <n v="7.6999999999999999E-2"/>
    <n v="18"/>
    <n v="29"/>
    <n v="0.99650000000000005"/>
    <n v="3.32"/>
    <n v="0.6"/>
    <n v="10"/>
    <n v="6"/>
    <x v="0"/>
  </r>
  <r>
    <n v="8.1999999999999993"/>
    <n v="0.39"/>
    <n v="0.38"/>
    <n v="1.5"/>
    <n v="5.8000000000000003E-2"/>
    <n v="10"/>
    <n v="29"/>
    <n v="0.99619999999999997"/>
    <n v="3.26"/>
    <n v="0.74"/>
    <n v="9.8000000000000007"/>
    <n v="5"/>
    <x v="0"/>
  </r>
  <r>
    <n v="9.1999999999999993"/>
    <n v="0.755"/>
    <n v="0.18"/>
    <n v="2.2000000000000002"/>
    <n v="0.14799999999999999"/>
    <n v="10"/>
    <n v="103"/>
    <n v="0.99690000000000001"/>
    <n v="2.87"/>
    <n v="1.36"/>
    <n v="10.199999999999999"/>
    <n v="6"/>
    <x v="0"/>
  </r>
  <r>
    <n v="9.6"/>
    <n v="0.6"/>
    <n v="0.5"/>
    <n v="2.2999999999999998"/>
    <n v="7.9000000000000001E-2"/>
    <n v="28"/>
    <n v="71"/>
    <n v="0.99970000000000003"/>
    <n v="3.5"/>
    <n v="0.56999999999999995"/>
    <n v="9.6999999999999993"/>
    <n v="5"/>
    <x v="0"/>
  </r>
  <r>
    <n v="9.6"/>
    <n v="0.6"/>
    <n v="0.5"/>
    <n v="2.2999999999999998"/>
    <n v="7.9000000000000001E-2"/>
    <n v="28"/>
    <n v="71"/>
    <n v="0.99970000000000003"/>
    <n v="3.5"/>
    <n v="0.56999999999999995"/>
    <n v="9.6999999999999993"/>
    <n v="5"/>
    <x v="0"/>
  </r>
  <r>
    <n v="11.5"/>
    <n v="0.31"/>
    <n v="0.51"/>
    <n v="2.2000000000000002"/>
    <n v="7.9000000000000001E-2"/>
    <n v="14"/>
    <n v="28"/>
    <n v="0.99819999999999998"/>
    <n v="3.03"/>
    <n v="0.93"/>
    <n v="9.8000000000000007"/>
    <n v="6"/>
    <x v="0"/>
  </r>
  <r>
    <n v="11.4"/>
    <n v="0.46"/>
    <n v="0.5"/>
    <n v="2.7"/>
    <n v="0.122"/>
    <n v="4"/>
    <n v="17"/>
    <n v="1.0005999999999999"/>
    <n v="3.13"/>
    <n v="0.7"/>
    <n v="10.199999999999999"/>
    <n v="5"/>
    <x v="0"/>
  </r>
  <r>
    <n v="11.3"/>
    <n v="0.37"/>
    <n v="0.41"/>
    <n v="2.2999999999999998"/>
    <n v="8.7999999999999995E-2"/>
    <n v="6"/>
    <n v="16"/>
    <n v="0.99880000000000002"/>
    <n v="3.09"/>
    <n v="0.8"/>
    <n v="9.3000000000000007"/>
    <n v="5"/>
    <x v="0"/>
  </r>
  <r>
    <n v="8.3000000000000007"/>
    <n v="0.54"/>
    <n v="0.24"/>
    <n v="3.4"/>
    <n v="7.5999999999999998E-2"/>
    <n v="16"/>
    <n v="112"/>
    <n v="0.99760000000000004"/>
    <n v="3.27"/>
    <n v="0.61"/>
    <n v="9.4"/>
    <n v="5"/>
    <x v="0"/>
  </r>
  <r>
    <n v="8.1999999999999993"/>
    <n v="0.56000000000000005"/>
    <n v="0.23"/>
    <n v="3.4"/>
    <n v="7.8E-2"/>
    <n v="14"/>
    <n v="104"/>
    <n v="0.99760000000000004"/>
    <n v="3.28"/>
    <n v="0.62"/>
    <n v="9.4"/>
    <n v="5"/>
    <x v="0"/>
  </r>
  <r>
    <n v="10"/>
    <n v="0.57999999999999996"/>
    <n v="0.22"/>
    <n v="1.9"/>
    <n v="0.08"/>
    <n v="9"/>
    <n v="32"/>
    <n v="0.99739999999999995"/>
    <n v="3.13"/>
    <n v="0.55000000000000004"/>
    <n v="9.5"/>
    <n v="5"/>
    <x v="0"/>
  </r>
  <r>
    <n v="7.9"/>
    <n v="0.51"/>
    <n v="0.25"/>
    <n v="2.9"/>
    <n v="7.6999999999999999E-2"/>
    <n v="21"/>
    <n v="45"/>
    <n v="0.99739999999999995"/>
    <n v="3.49"/>
    <n v="0.96"/>
    <n v="12.1"/>
    <n v="6"/>
    <x v="0"/>
  </r>
  <r>
    <n v="6.8"/>
    <n v="0.69"/>
    <n v="0"/>
    <n v="5.6"/>
    <n v="0.124"/>
    <n v="21"/>
    <n v="58"/>
    <n v="0.99970000000000003"/>
    <n v="3.46"/>
    <n v="0.72"/>
    <n v="10.199999999999999"/>
    <n v="5"/>
    <x v="0"/>
  </r>
  <r>
    <n v="6.8"/>
    <n v="0.69"/>
    <n v="0"/>
    <n v="5.6"/>
    <n v="0.124"/>
    <n v="21"/>
    <n v="58"/>
    <n v="0.99970000000000003"/>
    <n v="3.46"/>
    <n v="0.72"/>
    <n v="10.199999999999999"/>
    <n v="5"/>
    <x v="0"/>
  </r>
  <r>
    <n v="8.8000000000000007"/>
    <n v="0.6"/>
    <n v="0.28999999999999998"/>
    <n v="2.2000000000000002"/>
    <n v="9.8000000000000004E-2"/>
    <n v="5"/>
    <n v="15"/>
    <n v="0.99880000000000002"/>
    <n v="3.36"/>
    <n v="0.49"/>
    <n v="9.1"/>
    <n v="5"/>
    <x v="0"/>
  </r>
  <r>
    <n v="8.8000000000000007"/>
    <n v="0.6"/>
    <n v="0.28999999999999998"/>
    <n v="2.2000000000000002"/>
    <n v="9.8000000000000004E-2"/>
    <n v="5"/>
    <n v="15"/>
    <n v="0.99880000000000002"/>
    <n v="3.36"/>
    <n v="0.49"/>
    <n v="9.1"/>
    <n v="5"/>
    <x v="0"/>
  </r>
  <r>
    <n v="8.6999999999999993"/>
    <n v="0.54"/>
    <n v="0.26"/>
    <n v="2.5"/>
    <n v="9.7000000000000003E-2"/>
    <n v="7"/>
    <n v="31"/>
    <n v="0.99760000000000004"/>
    <n v="3.27"/>
    <n v="0.6"/>
    <n v="9.3000000000000007"/>
    <n v="6"/>
    <x v="0"/>
  </r>
  <r>
    <n v="7.6"/>
    <n v="0.68500000000000005"/>
    <n v="0.23"/>
    <n v="2.2999999999999998"/>
    <n v="0.111"/>
    <n v="20"/>
    <n v="84"/>
    <n v="0.99639999999999995"/>
    <n v="3.21"/>
    <n v="0.61"/>
    <n v="9.3000000000000007"/>
    <n v="5"/>
    <x v="0"/>
  </r>
  <r>
    <n v="8.6999999999999993"/>
    <n v="0.54"/>
    <n v="0.26"/>
    <n v="2.5"/>
    <n v="9.7000000000000003E-2"/>
    <n v="7"/>
    <n v="31"/>
    <n v="0.99760000000000004"/>
    <n v="3.27"/>
    <n v="0.6"/>
    <n v="9.3000000000000007"/>
    <n v="6"/>
    <x v="0"/>
  </r>
  <r>
    <n v="10.4"/>
    <n v="0.28000000000000003"/>
    <n v="0.54"/>
    <n v="2.7"/>
    <n v="0.105"/>
    <n v="5"/>
    <n v="19"/>
    <n v="0.99880000000000002"/>
    <n v="3.25"/>
    <n v="0.63"/>
    <n v="9.5"/>
    <n v="5"/>
    <x v="0"/>
  </r>
  <r>
    <n v="7.6"/>
    <n v="0.41"/>
    <n v="0.14000000000000001"/>
    <n v="3"/>
    <n v="8.6999999999999994E-2"/>
    <n v="21"/>
    <n v="43"/>
    <n v="0.99639999999999995"/>
    <n v="3.32"/>
    <n v="0.56999999999999995"/>
    <n v="10.5"/>
    <n v="6"/>
    <x v="0"/>
  </r>
  <r>
    <n v="10.1"/>
    <n v="0.93500000000000005"/>
    <n v="0.22"/>
    <n v="3.4"/>
    <n v="0.105"/>
    <n v="11"/>
    <n v="86"/>
    <n v="1.0009999999999999"/>
    <n v="3.43"/>
    <n v="0.64"/>
    <n v="11.3"/>
    <n v="4"/>
    <x v="2"/>
  </r>
  <r>
    <n v="7.9"/>
    <n v="0.35"/>
    <n v="0.21"/>
    <n v="1.9"/>
    <n v="7.2999999999999995E-2"/>
    <n v="46"/>
    <n v="102"/>
    <n v="0.99639999999999995"/>
    <n v="3.27"/>
    <n v="0.57999999999999996"/>
    <n v="9.5"/>
    <n v="5"/>
    <x v="0"/>
  </r>
  <r>
    <n v="8.6999999999999993"/>
    <n v="0.84"/>
    <n v="0"/>
    <n v="1.4"/>
    <n v="6.5000000000000002E-2"/>
    <n v="24"/>
    <n v="33"/>
    <n v="0.99539999999999995"/>
    <n v="3.27"/>
    <n v="0.55000000000000004"/>
    <n v="9.6999999999999993"/>
    <n v="5"/>
    <x v="0"/>
  </r>
  <r>
    <n v="9.6"/>
    <n v="0.88"/>
    <n v="0.28000000000000003"/>
    <n v="2.4"/>
    <n v="8.5999999999999993E-2"/>
    <n v="30"/>
    <n v="147"/>
    <n v="0.99790000000000001"/>
    <n v="3.24"/>
    <n v="0.53"/>
    <n v="9.4"/>
    <n v="5"/>
    <x v="0"/>
  </r>
  <r>
    <n v="9.5"/>
    <n v="0.88500000000000001"/>
    <n v="0.27"/>
    <n v="2.2999999999999998"/>
    <n v="8.4000000000000005E-2"/>
    <n v="31"/>
    <n v="145"/>
    <n v="0.99780000000000002"/>
    <n v="3.24"/>
    <n v="0.53"/>
    <n v="9.4"/>
    <n v="5"/>
    <x v="0"/>
  </r>
  <r>
    <n v="7.7"/>
    <n v="0.91500000000000004"/>
    <n v="0.12"/>
    <n v="2.2000000000000002"/>
    <n v="0.14299999999999999"/>
    <n v="7"/>
    <n v="23"/>
    <n v="0.99639999999999995"/>
    <n v="3.35"/>
    <n v="0.65"/>
    <n v="10.199999999999999"/>
    <n v="7"/>
    <x v="1"/>
  </r>
  <r>
    <n v="8.9"/>
    <n v="0.28999999999999998"/>
    <n v="0.35"/>
    <n v="1.9"/>
    <n v="6.7000000000000004E-2"/>
    <n v="25"/>
    <n v="57"/>
    <n v="0.997"/>
    <n v="3.18"/>
    <n v="1.36"/>
    <n v="10.3"/>
    <n v="6"/>
    <x v="0"/>
  </r>
  <r>
    <n v="9.9"/>
    <n v="0.54"/>
    <n v="0.45"/>
    <n v="2.2999999999999998"/>
    <n v="7.0999999999999994E-2"/>
    <n v="16"/>
    <n v="40"/>
    <n v="0.99909999999999999"/>
    <n v="3.39"/>
    <n v="0.62"/>
    <n v="9.4"/>
    <n v="5"/>
    <x v="0"/>
  </r>
  <r>
    <n v="9.5"/>
    <n v="0.59"/>
    <n v="0.44"/>
    <n v="2.2999999999999998"/>
    <n v="7.0999999999999994E-2"/>
    <n v="21"/>
    <n v="68"/>
    <n v="0.99919999999999998"/>
    <n v="3.46"/>
    <n v="0.63"/>
    <n v="9.5"/>
    <n v="5"/>
    <x v="0"/>
  </r>
  <r>
    <n v="9.9"/>
    <n v="0.54"/>
    <n v="0.45"/>
    <n v="2.2999999999999998"/>
    <n v="7.0999999999999994E-2"/>
    <n v="16"/>
    <n v="40"/>
    <n v="0.99909999999999999"/>
    <n v="3.39"/>
    <n v="0.62"/>
    <n v="9.4"/>
    <n v="5"/>
    <x v="0"/>
  </r>
  <r>
    <n v="9.5"/>
    <n v="0.59"/>
    <n v="0.44"/>
    <n v="2.2999999999999998"/>
    <n v="7.0999999999999994E-2"/>
    <n v="21"/>
    <n v="68"/>
    <n v="0.99919999999999998"/>
    <n v="3.46"/>
    <n v="0.63"/>
    <n v="9.5"/>
    <n v="5"/>
    <x v="0"/>
  </r>
  <r>
    <n v="9.9"/>
    <n v="0.54"/>
    <n v="0.45"/>
    <n v="2.2999999999999998"/>
    <n v="7.0999999999999994E-2"/>
    <n v="16"/>
    <n v="40"/>
    <n v="0.99909999999999999"/>
    <n v="3.39"/>
    <n v="0.62"/>
    <n v="9.4"/>
    <n v="5"/>
    <x v="0"/>
  </r>
  <r>
    <n v="7.8"/>
    <n v="0.64"/>
    <n v="0.1"/>
    <n v="6"/>
    <n v="0.115"/>
    <n v="5"/>
    <n v="11"/>
    <n v="0.99839999999999995"/>
    <n v="3.37"/>
    <n v="0.69"/>
    <n v="10.1"/>
    <n v="7"/>
    <x v="1"/>
  </r>
  <r>
    <n v="7.3"/>
    <n v="0.67"/>
    <n v="0.05"/>
    <n v="3.6"/>
    <n v="0.107"/>
    <n v="6"/>
    <n v="20"/>
    <n v="0.99719999999999998"/>
    <n v="3.4"/>
    <n v="0.63"/>
    <n v="10.1"/>
    <n v="5"/>
    <x v="0"/>
  </r>
  <r>
    <n v="8.3000000000000007"/>
    <n v="0.84499999999999997"/>
    <n v="0.01"/>
    <n v="2.2000000000000002"/>
    <n v="7.0000000000000007E-2"/>
    <n v="5"/>
    <n v="14"/>
    <n v="0.99670000000000003"/>
    <n v="3.32"/>
    <n v="0.57999999999999996"/>
    <n v="11"/>
    <n v="4"/>
    <x v="2"/>
  </r>
  <r>
    <n v="8.6999999999999993"/>
    <n v="0.48"/>
    <n v="0.3"/>
    <n v="2.8"/>
    <n v="6.6000000000000003E-2"/>
    <n v="10"/>
    <n v="28"/>
    <n v="0.99639999999999995"/>
    <n v="3.33"/>
    <n v="0.67"/>
    <n v="11.2"/>
    <n v="7"/>
    <x v="1"/>
  </r>
  <r>
    <n v="6.7"/>
    <n v="0.42"/>
    <n v="0.27"/>
    <n v="8.6"/>
    <n v="6.8000000000000005E-2"/>
    <n v="24"/>
    <n v="148"/>
    <n v="0.99480000000000002"/>
    <n v="3.16"/>
    <n v="0.56999999999999995"/>
    <n v="11.3"/>
    <n v="6"/>
    <x v="0"/>
  </r>
  <r>
    <n v="10.7"/>
    <n v="0.43"/>
    <n v="0.39"/>
    <n v="2.2000000000000002"/>
    <n v="0.106"/>
    <n v="8"/>
    <n v="32"/>
    <n v="0.99860000000000004"/>
    <n v="2.89"/>
    <n v="0.5"/>
    <n v="9.6"/>
    <n v="5"/>
    <x v="0"/>
  </r>
  <r>
    <n v="9.8000000000000007"/>
    <n v="0.88"/>
    <n v="0.25"/>
    <n v="2.5"/>
    <n v="0.104"/>
    <n v="35"/>
    <n v="155"/>
    <n v="1.0009999999999999"/>
    <n v="3.41"/>
    <n v="0.67"/>
    <n v="11.2"/>
    <n v="5"/>
    <x v="0"/>
  </r>
  <r>
    <n v="15.9"/>
    <n v="0.36"/>
    <n v="0.65"/>
    <n v="7.5"/>
    <n v="9.6000000000000002E-2"/>
    <n v="22"/>
    <n v="71"/>
    <n v="0.99760000000000004"/>
    <n v="2.98"/>
    <n v="0.84"/>
    <n v="14.9"/>
    <n v="5"/>
    <x v="0"/>
  </r>
  <r>
    <n v="9.4"/>
    <n v="0.33"/>
    <n v="0.59"/>
    <n v="2.8"/>
    <n v="7.9000000000000001E-2"/>
    <n v="9"/>
    <n v="30"/>
    <n v="0.99760000000000004"/>
    <n v="3.12"/>
    <n v="0.54"/>
    <n v="12"/>
    <n v="6"/>
    <x v="0"/>
  </r>
  <r>
    <n v="8.6"/>
    <n v="0.47"/>
    <n v="0.47"/>
    <n v="2.4"/>
    <n v="7.3999999999999996E-2"/>
    <n v="7"/>
    <n v="29"/>
    <n v="0.99790000000000001"/>
    <n v="3.08"/>
    <n v="0.46"/>
    <n v="9.5"/>
    <n v="5"/>
    <x v="0"/>
  </r>
  <r>
    <n v="9.6999999999999993"/>
    <n v="0.55000000000000004"/>
    <n v="0.17"/>
    <n v="2.9"/>
    <n v="8.6999999999999994E-2"/>
    <n v="20"/>
    <n v="53"/>
    <n v="1.0004"/>
    <n v="3.14"/>
    <n v="0.61"/>
    <n v="9.4"/>
    <n v="5"/>
    <x v="0"/>
  </r>
  <r>
    <n v="10.7"/>
    <n v="0.43"/>
    <n v="0.39"/>
    <n v="2.2000000000000002"/>
    <n v="0.106"/>
    <n v="8"/>
    <n v="32"/>
    <n v="0.99860000000000004"/>
    <n v="2.89"/>
    <n v="0.5"/>
    <n v="9.6"/>
    <n v="5"/>
    <x v="0"/>
  </r>
  <r>
    <n v="12"/>
    <n v="0.5"/>
    <n v="0.59"/>
    <n v="1.4"/>
    <n v="7.2999999999999995E-2"/>
    <n v="23"/>
    <n v="42"/>
    <n v="0.998"/>
    <n v="2.92"/>
    <n v="0.68"/>
    <n v="10.5"/>
    <n v="7"/>
    <x v="1"/>
  </r>
  <r>
    <n v="7.2"/>
    <n v="0.52"/>
    <n v="7.0000000000000007E-2"/>
    <n v="1.4"/>
    <n v="7.3999999999999996E-2"/>
    <n v="5"/>
    <n v="20"/>
    <n v="0.99729999999999996"/>
    <n v="3.32"/>
    <n v="0.81"/>
    <n v="9.6"/>
    <n v="6"/>
    <x v="0"/>
  </r>
  <r>
    <n v="7.1"/>
    <n v="0.84"/>
    <n v="0.02"/>
    <n v="4.4000000000000004"/>
    <n v="9.6000000000000002E-2"/>
    <n v="5"/>
    <n v="13"/>
    <n v="0.997"/>
    <n v="3.41"/>
    <n v="0.56999999999999995"/>
    <n v="11"/>
    <n v="4"/>
    <x v="2"/>
  </r>
  <r>
    <n v="7.2"/>
    <n v="0.52"/>
    <n v="7.0000000000000007E-2"/>
    <n v="1.4"/>
    <n v="7.3999999999999996E-2"/>
    <n v="5"/>
    <n v="20"/>
    <n v="0.99729999999999996"/>
    <n v="3.32"/>
    <n v="0.81"/>
    <n v="9.6"/>
    <n v="6"/>
    <x v="0"/>
  </r>
  <r>
    <n v="7.5"/>
    <n v="0.42"/>
    <n v="0.31"/>
    <n v="1.6"/>
    <n v="0.08"/>
    <n v="15"/>
    <n v="42"/>
    <n v="0.99780000000000002"/>
    <n v="3.31"/>
    <n v="0.64"/>
    <n v="9"/>
    <n v="5"/>
    <x v="0"/>
  </r>
  <r>
    <n v="7.2"/>
    <n v="0.56999999999999995"/>
    <n v="0.06"/>
    <n v="1.6"/>
    <n v="7.5999999999999998E-2"/>
    <n v="9"/>
    <n v="27"/>
    <n v="0.99719999999999998"/>
    <n v="3.36"/>
    <n v="0.7"/>
    <n v="9.6"/>
    <n v="6"/>
    <x v="0"/>
  </r>
  <r>
    <n v="10.1"/>
    <n v="0.28000000000000003"/>
    <n v="0.46"/>
    <n v="1.8"/>
    <n v="0.05"/>
    <n v="5"/>
    <n v="13"/>
    <n v="0.99739999999999995"/>
    <n v="3.04"/>
    <n v="0.79"/>
    <n v="10.199999999999999"/>
    <n v="6"/>
    <x v="0"/>
  </r>
  <r>
    <n v="12.1"/>
    <n v="0.4"/>
    <n v="0.52"/>
    <n v="2"/>
    <n v="9.1999999999999998E-2"/>
    <n v="15"/>
    <n v="54"/>
    <n v="1"/>
    <n v="3.03"/>
    <n v="0.66"/>
    <n v="10.199999999999999"/>
    <n v="5"/>
    <x v="0"/>
  </r>
  <r>
    <n v="9.4"/>
    <n v="0.59"/>
    <n v="0.14000000000000001"/>
    <n v="2"/>
    <n v="8.4000000000000005E-2"/>
    <n v="25"/>
    <n v="48"/>
    <n v="0.99809999999999999"/>
    <n v="3.14"/>
    <n v="0.56000000000000005"/>
    <n v="9.6999999999999993"/>
    <n v="5"/>
    <x v="0"/>
  </r>
  <r>
    <n v="8.3000000000000007"/>
    <n v="0.49"/>
    <n v="0.36"/>
    <n v="1.8"/>
    <n v="0.222"/>
    <n v="6"/>
    <n v="16"/>
    <n v="0.998"/>
    <n v="3.18"/>
    <n v="0.6"/>
    <n v="9.5"/>
    <n v="6"/>
    <x v="0"/>
  </r>
  <r>
    <n v="11.3"/>
    <n v="0.34"/>
    <n v="0.45"/>
    <n v="2"/>
    <n v="8.2000000000000003E-2"/>
    <n v="6"/>
    <n v="15"/>
    <n v="0.99880000000000002"/>
    <n v="2.94"/>
    <n v="0.66"/>
    <n v="9.1999999999999993"/>
    <n v="6"/>
    <x v="0"/>
  </r>
  <r>
    <n v="10"/>
    <n v="0.73"/>
    <n v="0.43"/>
    <n v="2.2999999999999998"/>
    <n v="5.8999999999999997E-2"/>
    <n v="15"/>
    <n v="31"/>
    <n v="0.99660000000000004"/>
    <n v="3.15"/>
    <n v="0.56999999999999995"/>
    <n v="11"/>
    <n v="5"/>
    <x v="0"/>
  </r>
  <r>
    <n v="11.3"/>
    <n v="0.34"/>
    <n v="0.45"/>
    <n v="2"/>
    <n v="8.2000000000000003E-2"/>
    <n v="6"/>
    <n v="15"/>
    <n v="0.99880000000000002"/>
    <n v="2.94"/>
    <n v="0.66"/>
    <n v="9.1999999999999993"/>
    <n v="6"/>
    <x v="0"/>
  </r>
  <r>
    <n v="6.9"/>
    <n v="0.4"/>
    <n v="0.24"/>
    <n v="2.5"/>
    <n v="8.3000000000000004E-2"/>
    <n v="30"/>
    <n v="45"/>
    <n v="0.99590000000000001"/>
    <n v="3.26"/>
    <n v="0.57999999999999996"/>
    <n v="10"/>
    <n v="5"/>
    <x v="0"/>
  </r>
  <r>
    <n v="8.1999999999999993"/>
    <n v="0.73"/>
    <n v="0.21"/>
    <n v="1.7"/>
    <n v="7.3999999999999996E-2"/>
    <n v="5"/>
    <n v="13"/>
    <n v="0.99680000000000002"/>
    <n v="3.2"/>
    <n v="0.52"/>
    <n v="9.5"/>
    <n v="5"/>
    <x v="0"/>
  </r>
  <r>
    <n v="9.8000000000000007"/>
    <n v="1.24"/>
    <n v="0.34"/>
    <n v="2"/>
    <n v="7.9000000000000001E-2"/>
    <n v="32"/>
    <n v="151"/>
    <n v="0.998"/>
    <n v="3.15"/>
    <n v="0.53"/>
    <n v="9.5"/>
    <n v="5"/>
    <x v="0"/>
  </r>
  <r>
    <n v="8.1999999999999993"/>
    <n v="0.73"/>
    <n v="0.21"/>
    <n v="1.7"/>
    <n v="7.3999999999999996E-2"/>
    <n v="5"/>
    <n v="13"/>
    <n v="0.99680000000000002"/>
    <n v="3.2"/>
    <n v="0.52"/>
    <n v="9.5"/>
    <n v="5"/>
    <x v="0"/>
  </r>
  <r>
    <n v="10.8"/>
    <n v="0.4"/>
    <n v="0.41"/>
    <n v="2.2000000000000002"/>
    <n v="8.4000000000000005E-2"/>
    <n v="7"/>
    <n v="17"/>
    <n v="0.99839999999999995"/>
    <n v="3.08"/>
    <n v="0.67"/>
    <n v="9.3000000000000007"/>
    <n v="6"/>
    <x v="0"/>
  </r>
  <r>
    <n v="9.3000000000000007"/>
    <n v="0.41"/>
    <n v="0.39"/>
    <n v="2.2000000000000002"/>
    <n v="6.4000000000000001E-2"/>
    <n v="12"/>
    <n v="31"/>
    <n v="0.99839999999999995"/>
    <n v="3.26"/>
    <n v="0.65"/>
    <n v="10.199999999999999"/>
    <n v="5"/>
    <x v="0"/>
  </r>
  <r>
    <n v="10.8"/>
    <n v="0.4"/>
    <n v="0.41"/>
    <n v="2.2000000000000002"/>
    <n v="8.4000000000000005E-2"/>
    <n v="7"/>
    <n v="17"/>
    <n v="0.99839999999999995"/>
    <n v="3.08"/>
    <n v="0.67"/>
    <n v="9.3000000000000007"/>
    <n v="6"/>
    <x v="0"/>
  </r>
  <r>
    <n v="8.6"/>
    <n v="0.8"/>
    <n v="0.11"/>
    <n v="2.2999999999999998"/>
    <n v="8.4000000000000005E-2"/>
    <n v="12"/>
    <n v="31"/>
    <n v="0.99790000000000001"/>
    <n v="3.4"/>
    <n v="0.48"/>
    <n v="9.9"/>
    <n v="5"/>
    <x v="0"/>
  </r>
  <r>
    <n v="8.3000000000000007"/>
    <n v="0.78"/>
    <n v="0.1"/>
    <n v="2.6"/>
    <n v="8.1000000000000003E-2"/>
    <n v="45"/>
    <n v="87"/>
    <n v="0.99829999999999997"/>
    <n v="3.48"/>
    <n v="0.53"/>
    <n v="10"/>
    <n v="5"/>
    <x v="0"/>
  </r>
  <r>
    <n v="10.8"/>
    <n v="0.26"/>
    <n v="0.45"/>
    <n v="3.3"/>
    <n v="0.06"/>
    <n v="20"/>
    <n v="49"/>
    <n v="0.99719999999999998"/>
    <n v="3.13"/>
    <n v="0.54"/>
    <n v="9.6"/>
    <n v="5"/>
    <x v="0"/>
  </r>
  <r>
    <n v="13.3"/>
    <n v="0.43"/>
    <n v="0.57999999999999996"/>
    <n v="1.9"/>
    <n v="7.0000000000000007E-2"/>
    <n v="15"/>
    <n v="40"/>
    <n v="1.0004"/>
    <n v="3.06"/>
    <n v="0.49"/>
    <n v="9"/>
    <n v="5"/>
    <x v="0"/>
  </r>
  <r>
    <n v="8"/>
    <n v="0.45"/>
    <n v="0.23"/>
    <n v="2.2000000000000002"/>
    <n v="9.4E-2"/>
    <n v="16"/>
    <n v="29"/>
    <n v="0.99619999999999997"/>
    <n v="3.21"/>
    <n v="0.49"/>
    <n v="10.199999999999999"/>
    <n v="6"/>
    <x v="0"/>
  </r>
  <r>
    <n v="8.5"/>
    <n v="0.46"/>
    <n v="0.31"/>
    <n v="2.25"/>
    <n v="7.8E-2"/>
    <n v="32"/>
    <n v="58"/>
    <n v="0.998"/>
    <n v="3.33"/>
    <n v="0.54"/>
    <n v="9.8000000000000007"/>
    <n v="5"/>
    <x v="0"/>
  </r>
  <r>
    <n v="8.1"/>
    <n v="0.78"/>
    <n v="0.23"/>
    <n v="2.6"/>
    <n v="5.8999999999999997E-2"/>
    <n v="5"/>
    <n v="15"/>
    <n v="0.997"/>
    <n v="3.37"/>
    <n v="0.56000000000000005"/>
    <n v="11.3"/>
    <n v="5"/>
    <x v="0"/>
  </r>
  <r>
    <n v="9.8000000000000007"/>
    <n v="0.98"/>
    <n v="0.32"/>
    <n v="2.2999999999999998"/>
    <n v="7.8E-2"/>
    <n v="35"/>
    <n v="152"/>
    <n v="0.998"/>
    <n v="3.25"/>
    <n v="0.48"/>
    <n v="9.4"/>
    <n v="5"/>
    <x v="0"/>
  </r>
  <r>
    <n v="8.1"/>
    <n v="0.78"/>
    <n v="0.23"/>
    <n v="2.6"/>
    <n v="5.8999999999999997E-2"/>
    <n v="5"/>
    <n v="15"/>
    <n v="0.997"/>
    <n v="3.37"/>
    <n v="0.56000000000000005"/>
    <n v="11.3"/>
    <n v="5"/>
    <x v="0"/>
  </r>
  <r>
    <n v="7.1"/>
    <n v="0.65"/>
    <n v="0.18"/>
    <n v="1.8"/>
    <n v="7.0000000000000007E-2"/>
    <n v="13"/>
    <n v="40"/>
    <n v="0.997"/>
    <n v="3.44"/>
    <n v="0.6"/>
    <n v="9.1"/>
    <n v="5"/>
    <x v="0"/>
  </r>
  <r>
    <n v="9.1"/>
    <n v="0.64"/>
    <n v="0.23"/>
    <n v="3.1"/>
    <n v="9.5000000000000001E-2"/>
    <n v="13"/>
    <n v="38"/>
    <n v="0.99980000000000002"/>
    <n v="3.28"/>
    <n v="0.59"/>
    <n v="9.6999999999999993"/>
    <n v="5"/>
    <x v="0"/>
  </r>
  <r>
    <n v="7.7"/>
    <n v="0.66"/>
    <n v="0.04"/>
    <n v="1.6"/>
    <n v="3.9E-2"/>
    <n v="4"/>
    <n v="9"/>
    <n v="0.99619999999999997"/>
    <n v="3.4"/>
    <n v="0.47"/>
    <n v="9.4"/>
    <n v="5"/>
    <x v="0"/>
  </r>
  <r>
    <n v="8.1"/>
    <n v="0.38"/>
    <n v="0.48"/>
    <n v="1.8"/>
    <n v="0.157"/>
    <n v="5"/>
    <n v="17"/>
    <n v="0.99760000000000004"/>
    <n v="3.3"/>
    <n v="1.05"/>
    <n v="9.4"/>
    <n v="5"/>
    <x v="0"/>
  </r>
  <r>
    <n v="7.4"/>
    <n v="1.1850000000000001"/>
    <n v="0"/>
    <n v="4.25"/>
    <n v="9.7000000000000003E-2"/>
    <n v="5"/>
    <n v="14"/>
    <n v="0.99660000000000004"/>
    <n v="3.63"/>
    <n v="0.54"/>
    <n v="10.7"/>
    <n v="3"/>
    <x v="2"/>
  </r>
  <r>
    <n v="9.1999999999999993"/>
    <n v="0.92"/>
    <n v="0.24"/>
    <n v="2.6"/>
    <n v="8.6999999999999994E-2"/>
    <n v="12"/>
    <n v="93"/>
    <n v="0.99980000000000002"/>
    <n v="3.48"/>
    <n v="0.54"/>
    <n v="9.8000000000000007"/>
    <n v="5"/>
    <x v="0"/>
  </r>
  <r>
    <n v="8.6"/>
    <n v="0.49"/>
    <n v="0.51"/>
    <n v="2"/>
    <n v="0.42199999999999999"/>
    <n v="16"/>
    <n v="62"/>
    <n v="0.99790000000000001"/>
    <n v="3.03"/>
    <n v="1.17"/>
    <n v="9"/>
    <n v="5"/>
    <x v="0"/>
  </r>
  <r>
    <n v="9"/>
    <n v="0.48"/>
    <n v="0.32"/>
    <n v="2.8"/>
    <n v="8.4000000000000005E-2"/>
    <n v="21"/>
    <n v="122"/>
    <n v="0.99839999999999995"/>
    <n v="3.32"/>
    <n v="0.62"/>
    <n v="9.4"/>
    <n v="5"/>
    <x v="0"/>
  </r>
  <r>
    <n v="9"/>
    <n v="0.47"/>
    <n v="0.31"/>
    <n v="2.7"/>
    <n v="8.4000000000000005E-2"/>
    <n v="24"/>
    <n v="125"/>
    <n v="0.99839999999999995"/>
    <n v="3.31"/>
    <n v="0.61"/>
    <n v="9.4"/>
    <n v="5"/>
    <x v="0"/>
  </r>
  <r>
    <n v="5.0999999999999996"/>
    <n v="0.47"/>
    <n v="0.02"/>
    <n v="1.3"/>
    <n v="3.4000000000000002E-2"/>
    <n v="18"/>
    <n v="44"/>
    <n v="0.99209999999999998"/>
    <n v="3.9"/>
    <n v="0.62"/>
    <n v="12.8"/>
    <n v="6"/>
    <x v="0"/>
  </r>
  <r>
    <n v="7"/>
    <n v="0.65"/>
    <n v="0.02"/>
    <n v="2.1"/>
    <n v="6.6000000000000003E-2"/>
    <n v="8"/>
    <n v="25"/>
    <n v="0.99719999999999998"/>
    <n v="3.47"/>
    <n v="0.67"/>
    <n v="9.5"/>
    <n v="6"/>
    <x v="0"/>
  </r>
  <r>
    <n v="7"/>
    <n v="0.65"/>
    <n v="0.02"/>
    <n v="2.1"/>
    <n v="6.6000000000000003E-2"/>
    <n v="8"/>
    <n v="25"/>
    <n v="0.99719999999999998"/>
    <n v="3.47"/>
    <n v="0.67"/>
    <n v="9.5"/>
    <n v="6"/>
    <x v="0"/>
  </r>
  <r>
    <n v="9.4"/>
    <n v="0.61499999999999999"/>
    <n v="0.28000000000000003"/>
    <n v="3.2"/>
    <n v="8.6999999999999994E-2"/>
    <n v="18"/>
    <n v="72"/>
    <n v="1.0001"/>
    <n v="3.31"/>
    <n v="0.53"/>
    <n v="9.6999999999999993"/>
    <n v="5"/>
    <x v="0"/>
  </r>
  <r>
    <n v="11.8"/>
    <n v="0.38"/>
    <n v="0.55000000000000004"/>
    <n v="2.1"/>
    <n v="7.0999999999999994E-2"/>
    <n v="5"/>
    <n v="19"/>
    <n v="0.99860000000000004"/>
    <n v="3.11"/>
    <n v="0.62"/>
    <n v="10.8"/>
    <n v="6"/>
    <x v="0"/>
  </r>
  <r>
    <n v="10.6"/>
    <n v="1.02"/>
    <n v="0.43"/>
    <n v="2.9"/>
    <n v="7.5999999999999998E-2"/>
    <n v="26"/>
    <n v="88"/>
    <n v="0.99839999999999995"/>
    <n v="3.08"/>
    <n v="0.56999999999999995"/>
    <n v="10.1"/>
    <n v="6"/>
    <x v="0"/>
  </r>
  <r>
    <n v="7"/>
    <n v="0.65"/>
    <n v="0.02"/>
    <n v="2.1"/>
    <n v="6.6000000000000003E-2"/>
    <n v="8"/>
    <n v="25"/>
    <n v="0.99719999999999998"/>
    <n v="3.47"/>
    <n v="0.67"/>
    <n v="9.5"/>
    <n v="6"/>
    <x v="0"/>
  </r>
  <r>
    <n v="7"/>
    <n v="0.64"/>
    <n v="0.02"/>
    <n v="2.1"/>
    <n v="6.7000000000000004E-2"/>
    <n v="9"/>
    <n v="23"/>
    <n v="0.997"/>
    <n v="3.47"/>
    <n v="0.67"/>
    <n v="9.4"/>
    <n v="6"/>
    <x v="0"/>
  </r>
  <r>
    <n v="7.5"/>
    <n v="0.38"/>
    <n v="0.48"/>
    <n v="2.6"/>
    <n v="7.2999999999999995E-2"/>
    <n v="22"/>
    <n v="84"/>
    <n v="0.99719999999999998"/>
    <n v="3.32"/>
    <n v="0.7"/>
    <n v="9.6"/>
    <n v="4"/>
    <x v="2"/>
  </r>
  <r>
    <n v="9.1"/>
    <n v="0.76500000000000001"/>
    <n v="0.04"/>
    <n v="1.6"/>
    <n v="7.8E-2"/>
    <n v="4"/>
    <n v="14"/>
    <n v="0.998"/>
    <n v="3.29"/>
    <n v="0.54"/>
    <n v="9.6999999999999993"/>
    <n v="4"/>
    <x v="2"/>
  </r>
  <r>
    <n v="8.4"/>
    <n v="1.0349999999999999"/>
    <n v="0.15"/>
    <n v="6"/>
    <n v="7.2999999999999995E-2"/>
    <n v="11"/>
    <n v="54"/>
    <n v="0.999"/>
    <n v="3.37"/>
    <n v="0.49"/>
    <n v="9.9"/>
    <n v="5"/>
    <x v="0"/>
  </r>
  <r>
    <n v="7"/>
    <n v="0.78"/>
    <n v="0.08"/>
    <n v="2"/>
    <n v="9.2999999999999999E-2"/>
    <n v="10"/>
    <n v="19"/>
    <n v="0.99560000000000004"/>
    <n v="3.4"/>
    <n v="0.47"/>
    <n v="10"/>
    <n v="5"/>
    <x v="0"/>
  </r>
  <r>
    <n v="7.4"/>
    <n v="0.49"/>
    <n v="0.19"/>
    <n v="3"/>
    <n v="7.6999999999999999E-2"/>
    <n v="16"/>
    <n v="37"/>
    <n v="0.99660000000000004"/>
    <n v="3.37"/>
    <n v="0.51"/>
    <n v="10.5"/>
    <n v="5"/>
    <x v="0"/>
  </r>
  <r>
    <n v="7.8"/>
    <n v="0.54500000000000004"/>
    <n v="0.12"/>
    <n v="2.5"/>
    <n v="6.8000000000000005E-2"/>
    <n v="11"/>
    <n v="35"/>
    <n v="0.996"/>
    <n v="3.34"/>
    <n v="0.61"/>
    <n v="11.6"/>
    <n v="6"/>
    <x v="0"/>
  </r>
  <r>
    <n v="9.6999999999999993"/>
    <n v="0.31"/>
    <n v="0.47"/>
    <n v="1.6"/>
    <n v="6.2E-2"/>
    <n v="13"/>
    <n v="33"/>
    <n v="0.99829999999999997"/>
    <n v="3.27"/>
    <n v="0.66"/>
    <n v="10"/>
    <n v="6"/>
    <x v="0"/>
  </r>
  <r>
    <n v="10.6"/>
    <n v="1.0249999999999999"/>
    <n v="0.43"/>
    <n v="2.8"/>
    <n v="0.08"/>
    <n v="21"/>
    <n v="84"/>
    <n v="0.99850000000000005"/>
    <n v="3.06"/>
    <n v="0.56999999999999995"/>
    <n v="10.1"/>
    <n v="5"/>
    <x v="0"/>
  </r>
  <r>
    <n v="8.9"/>
    <n v="0.56499999999999995"/>
    <n v="0.34"/>
    <n v="3"/>
    <n v="9.2999999999999999E-2"/>
    <n v="16"/>
    <n v="112"/>
    <n v="0.99980000000000002"/>
    <n v="3.38"/>
    <n v="0.61"/>
    <n v="9.5"/>
    <n v="5"/>
    <x v="0"/>
  </r>
  <r>
    <n v="8.6999999999999993"/>
    <n v="0.69"/>
    <n v="0"/>
    <n v="3.2"/>
    <n v="8.4000000000000005E-2"/>
    <n v="13"/>
    <n v="33"/>
    <n v="0.99919999999999998"/>
    <n v="3.36"/>
    <n v="0.45"/>
    <n v="9.4"/>
    <n v="5"/>
    <x v="0"/>
  </r>
  <r>
    <n v="8"/>
    <n v="0.43"/>
    <n v="0.36"/>
    <n v="2.2999999999999998"/>
    <n v="7.4999999999999997E-2"/>
    <n v="10"/>
    <n v="48"/>
    <n v="0.99760000000000004"/>
    <n v="3.34"/>
    <n v="0.46"/>
    <n v="9.4"/>
    <n v="5"/>
    <x v="0"/>
  </r>
  <r>
    <n v="9.9"/>
    <n v="0.74"/>
    <n v="0.28000000000000003"/>
    <n v="2.6"/>
    <n v="7.8E-2"/>
    <n v="21"/>
    <n v="77"/>
    <n v="0.998"/>
    <n v="3.28"/>
    <n v="0.51"/>
    <n v="9.8000000000000007"/>
    <n v="5"/>
    <x v="0"/>
  </r>
  <r>
    <n v="7.2"/>
    <n v="0.49"/>
    <n v="0.18"/>
    <n v="2.7"/>
    <n v="6.9000000000000006E-2"/>
    <n v="13"/>
    <n v="34"/>
    <n v="0.99670000000000003"/>
    <n v="3.29"/>
    <n v="0.48"/>
    <n v="9.1999999999999993"/>
    <n v="6"/>
    <x v="0"/>
  </r>
  <r>
    <n v="8"/>
    <n v="0.43"/>
    <n v="0.36"/>
    <n v="2.2999999999999998"/>
    <n v="7.4999999999999997E-2"/>
    <n v="10"/>
    <n v="48"/>
    <n v="0.99760000000000004"/>
    <n v="3.34"/>
    <n v="0.46"/>
    <n v="9.4"/>
    <n v="5"/>
    <x v="0"/>
  </r>
  <r>
    <n v="7.6"/>
    <n v="0.46"/>
    <n v="0.11"/>
    <n v="2.6"/>
    <n v="7.9000000000000001E-2"/>
    <n v="12"/>
    <n v="49"/>
    <n v="0.99680000000000002"/>
    <n v="3.21"/>
    <n v="0.56999999999999995"/>
    <n v="10"/>
    <n v="5"/>
    <x v="0"/>
  </r>
  <r>
    <n v="8.4"/>
    <n v="0.56000000000000005"/>
    <n v="0.04"/>
    <n v="2"/>
    <n v="8.2000000000000003E-2"/>
    <n v="10"/>
    <n v="22"/>
    <n v="0.99760000000000004"/>
    <n v="3.22"/>
    <n v="0.44"/>
    <n v="9.6"/>
    <n v="5"/>
    <x v="0"/>
  </r>
  <r>
    <n v="7.1"/>
    <n v="0.66"/>
    <n v="0"/>
    <n v="3.9"/>
    <n v="8.5999999999999993E-2"/>
    <n v="17"/>
    <n v="45"/>
    <n v="0.99760000000000004"/>
    <n v="3.46"/>
    <n v="0.54"/>
    <n v="9.5"/>
    <n v="5"/>
    <x v="0"/>
  </r>
  <r>
    <n v="8.4"/>
    <n v="0.56000000000000005"/>
    <n v="0.04"/>
    <n v="2"/>
    <n v="8.2000000000000003E-2"/>
    <n v="10"/>
    <n v="22"/>
    <n v="0.99760000000000004"/>
    <n v="3.22"/>
    <n v="0.44"/>
    <n v="9.6"/>
    <n v="5"/>
    <x v="0"/>
  </r>
  <r>
    <n v="8.9"/>
    <n v="0.48"/>
    <n v="0.24"/>
    <n v="2.85"/>
    <n v="9.4E-2"/>
    <n v="35"/>
    <n v="106"/>
    <n v="0.99819999999999998"/>
    <n v="3.1"/>
    <n v="0.53"/>
    <n v="9.1999999999999993"/>
    <n v="5"/>
    <x v="0"/>
  </r>
  <r>
    <n v="7.6"/>
    <n v="0.42"/>
    <n v="0.08"/>
    <n v="2.7"/>
    <n v="8.4000000000000005E-2"/>
    <n v="15"/>
    <n v="48"/>
    <n v="0.99680000000000002"/>
    <n v="3.21"/>
    <n v="0.59"/>
    <n v="10"/>
    <n v="5"/>
    <x v="0"/>
  </r>
  <r>
    <n v="7.1"/>
    <n v="0.31"/>
    <n v="0.3"/>
    <n v="2.2000000000000002"/>
    <n v="5.2999999999999999E-2"/>
    <n v="36"/>
    <n v="127"/>
    <n v="0.99650000000000005"/>
    <n v="2.94"/>
    <n v="1.62"/>
    <n v="9.5"/>
    <n v="5"/>
    <x v="0"/>
  </r>
  <r>
    <n v="7.5"/>
    <n v="1.115"/>
    <n v="0.1"/>
    <n v="3.1"/>
    <n v="8.5999999999999993E-2"/>
    <n v="5"/>
    <n v="12"/>
    <n v="0.99580000000000002"/>
    <n v="3.54"/>
    <n v="0.6"/>
    <n v="11.2"/>
    <n v="4"/>
    <x v="2"/>
  </r>
  <r>
    <n v="9"/>
    <n v="0.66"/>
    <n v="0.17"/>
    <n v="3"/>
    <n v="7.6999999999999999E-2"/>
    <n v="5"/>
    <n v="13"/>
    <n v="0.99760000000000004"/>
    <n v="3.29"/>
    <n v="0.55000000000000004"/>
    <n v="10.4"/>
    <n v="5"/>
    <x v="0"/>
  </r>
  <r>
    <n v="8.1"/>
    <n v="0.72"/>
    <n v="0.09"/>
    <n v="2.8"/>
    <n v="8.4000000000000005E-2"/>
    <n v="18"/>
    <n v="49"/>
    <n v="0.99939999999999996"/>
    <n v="3.43"/>
    <n v="0.72"/>
    <n v="11.1"/>
    <n v="6"/>
    <x v="0"/>
  </r>
  <r>
    <n v="6.4"/>
    <n v="0.56999999999999995"/>
    <n v="0.02"/>
    <n v="1.8"/>
    <n v="6.7000000000000004E-2"/>
    <n v="4"/>
    <n v="11"/>
    <n v="0.997"/>
    <n v="3.46"/>
    <n v="0.68"/>
    <n v="9.5"/>
    <n v="5"/>
    <x v="0"/>
  </r>
  <r>
    <n v="6.4"/>
    <n v="0.56999999999999995"/>
    <n v="0.02"/>
    <n v="1.8"/>
    <n v="6.7000000000000004E-2"/>
    <n v="4"/>
    <n v="11"/>
    <n v="0.997"/>
    <n v="3.46"/>
    <n v="0.68"/>
    <n v="9.5"/>
    <n v="5"/>
    <x v="0"/>
  </r>
  <r>
    <n v="6.4"/>
    <n v="0.86499999999999999"/>
    <n v="0.03"/>
    <n v="3.2"/>
    <n v="7.0999999999999994E-2"/>
    <n v="27"/>
    <n v="58"/>
    <n v="0.995"/>
    <n v="3.61"/>
    <n v="0.49"/>
    <n v="12.7"/>
    <n v="6"/>
    <x v="0"/>
  </r>
  <r>
    <n v="9.5"/>
    <n v="0.55000000000000004"/>
    <n v="0.66"/>
    <n v="2.2999999999999998"/>
    <n v="0.38700000000000001"/>
    <n v="12"/>
    <n v="37"/>
    <n v="0.99819999999999998"/>
    <n v="3.17"/>
    <n v="0.67"/>
    <n v="9.6"/>
    <n v="5"/>
    <x v="0"/>
  </r>
  <r>
    <n v="8.9"/>
    <n v="0.875"/>
    <n v="0.13"/>
    <n v="3.45"/>
    <n v="8.7999999999999995E-2"/>
    <n v="4"/>
    <n v="14"/>
    <n v="0.99939999999999996"/>
    <n v="3.44"/>
    <n v="0.52"/>
    <n v="11.5"/>
    <n v="5"/>
    <x v="0"/>
  </r>
  <r>
    <n v="7.3"/>
    <n v="0.83499999999999996"/>
    <n v="0.03"/>
    <n v="2.1"/>
    <n v="9.1999999999999998E-2"/>
    <n v="10"/>
    <n v="19"/>
    <n v="0.99660000000000004"/>
    <n v="3.39"/>
    <n v="0.47"/>
    <n v="9.6"/>
    <n v="5"/>
    <x v="0"/>
  </r>
  <r>
    <n v="7"/>
    <n v="0.45"/>
    <n v="0.34"/>
    <n v="2.7"/>
    <n v="8.2000000000000003E-2"/>
    <n v="16"/>
    <n v="72"/>
    <n v="0.998"/>
    <n v="3.55"/>
    <n v="0.6"/>
    <n v="9.5"/>
    <n v="5"/>
    <x v="0"/>
  </r>
  <r>
    <n v="7.7"/>
    <n v="0.56000000000000005"/>
    <n v="0.2"/>
    <n v="2"/>
    <n v="7.4999999999999997E-2"/>
    <n v="9"/>
    <n v="39"/>
    <n v="0.99870000000000003"/>
    <n v="3.48"/>
    <n v="0.62"/>
    <n v="9.3000000000000007"/>
    <n v="5"/>
    <x v="0"/>
  </r>
  <r>
    <n v="7.7"/>
    <n v="0.96499999999999997"/>
    <n v="0.1"/>
    <n v="2.1"/>
    <n v="0.112"/>
    <n v="11"/>
    <n v="22"/>
    <n v="0.99629999999999996"/>
    <n v="3.26"/>
    <n v="0.5"/>
    <n v="9.5"/>
    <n v="5"/>
    <x v="0"/>
  </r>
  <r>
    <n v="7.7"/>
    <n v="0.96499999999999997"/>
    <n v="0.1"/>
    <n v="2.1"/>
    <n v="0.112"/>
    <n v="11"/>
    <n v="22"/>
    <n v="0.99629999999999996"/>
    <n v="3.26"/>
    <n v="0.5"/>
    <n v="9.5"/>
    <n v="5"/>
    <x v="0"/>
  </r>
  <r>
    <n v="8.1999999999999993"/>
    <n v="0.59"/>
    <n v="0"/>
    <n v="2.5"/>
    <n v="9.2999999999999999E-2"/>
    <n v="19"/>
    <n v="58"/>
    <n v="1.0002"/>
    <n v="3.5"/>
    <n v="0.65"/>
    <n v="9.3000000000000007"/>
    <n v="6"/>
    <x v="0"/>
  </r>
  <r>
    <n v="9"/>
    <n v="0.46"/>
    <n v="0.23"/>
    <n v="2.8"/>
    <n v="9.1999999999999998E-2"/>
    <n v="28"/>
    <n v="104"/>
    <n v="0.99829999999999997"/>
    <n v="3.1"/>
    <n v="0.56000000000000005"/>
    <n v="9.1999999999999993"/>
    <n v="5"/>
    <x v="0"/>
  </r>
  <r>
    <n v="9"/>
    <n v="0.69"/>
    <n v="0"/>
    <n v="2.4"/>
    <n v="8.7999999999999995E-2"/>
    <n v="19"/>
    <n v="38"/>
    <n v="0.999"/>
    <n v="3.35"/>
    <n v="0.6"/>
    <n v="9.3000000000000007"/>
    <n v="5"/>
    <x v="0"/>
  </r>
  <r>
    <n v="8.3000000000000007"/>
    <n v="0.76"/>
    <n v="0.28999999999999998"/>
    <n v="4.2"/>
    <n v="7.4999999999999997E-2"/>
    <n v="12"/>
    <n v="16"/>
    <n v="0.99650000000000005"/>
    <n v="3.45"/>
    <n v="0.68"/>
    <n v="11.5"/>
    <n v="6"/>
    <x v="0"/>
  </r>
  <r>
    <n v="9.1999999999999993"/>
    <n v="0.53"/>
    <n v="0.24"/>
    <n v="2.6"/>
    <n v="7.8E-2"/>
    <n v="28"/>
    <n v="139"/>
    <n v="0.99787999999999999"/>
    <n v="3.21"/>
    <n v="0.56999999999999995"/>
    <n v="9.5"/>
    <n v="5"/>
    <x v="0"/>
  </r>
  <r>
    <n v="6.5"/>
    <n v="0.61499999999999999"/>
    <n v="0"/>
    <n v="1.9"/>
    <n v="6.5000000000000002E-2"/>
    <n v="9"/>
    <n v="18"/>
    <n v="0.99719999999999998"/>
    <n v="3.46"/>
    <n v="0.65"/>
    <n v="9.1999999999999993"/>
    <n v="5"/>
    <x v="0"/>
  </r>
  <r>
    <n v="11.6"/>
    <n v="0.41"/>
    <n v="0.57999999999999996"/>
    <n v="2.8"/>
    <n v="9.6000000000000002E-2"/>
    <n v="25"/>
    <n v="101"/>
    <n v="1.00024"/>
    <n v="3.13"/>
    <n v="0.53"/>
    <n v="10"/>
    <n v="5"/>
    <x v="0"/>
  </r>
  <r>
    <n v="11.1"/>
    <n v="0.39"/>
    <n v="0.54"/>
    <n v="2.7"/>
    <n v="9.5000000000000001E-2"/>
    <n v="21"/>
    <n v="101"/>
    <n v="1.0001"/>
    <n v="3.13"/>
    <n v="0.51"/>
    <n v="9.5"/>
    <n v="5"/>
    <x v="0"/>
  </r>
  <r>
    <n v="7.3"/>
    <n v="0.51"/>
    <n v="0.18"/>
    <n v="2.1"/>
    <n v="7.0000000000000007E-2"/>
    <n v="12"/>
    <n v="28"/>
    <n v="0.99768000000000001"/>
    <n v="3.52"/>
    <n v="0.73"/>
    <n v="9.5"/>
    <n v="6"/>
    <x v="0"/>
  </r>
  <r>
    <n v="8.1999999999999993"/>
    <n v="0.34"/>
    <n v="0.38"/>
    <n v="2.5"/>
    <n v="0.08"/>
    <n v="12"/>
    <n v="57"/>
    <n v="0.99780000000000002"/>
    <n v="3.3"/>
    <n v="0.47"/>
    <n v="9"/>
    <n v="6"/>
    <x v="0"/>
  </r>
  <r>
    <n v="8.6"/>
    <n v="0.33"/>
    <n v="0.4"/>
    <n v="2.6"/>
    <n v="8.3000000000000004E-2"/>
    <n v="16"/>
    <n v="68"/>
    <n v="0.99782000000000004"/>
    <n v="3.3"/>
    <n v="0.48"/>
    <n v="9.4"/>
    <n v="5"/>
    <x v="0"/>
  </r>
  <r>
    <n v="7.2"/>
    <n v="0.5"/>
    <n v="0.18"/>
    <n v="2.1"/>
    <n v="7.0999999999999994E-2"/>
    <n v="12"/>
    <n v="31"/>
    <n v="0.99761"/>
    <n v="3.52"/>
    <n v="0.72"/>
    <n v="9.6"/>
    <n v="6"/>
    <x v="0"/>
  </r>
  <r>
    <n v="7.3"/>
    <n v="0.51"/>
    <n v="0.18"/>
    <n v="2.1"/>
    <n v="7.0000000000000007E-2"/>
    <n v="12"/>
    <n v="28"/>
    <n v="0.99768000000000001"/>
    <n v="3.52"/>
    <n v="0.73"/>
    <n v="9.5"/>
    <n v="6"/>
    <x v="0"/>
  </r>
  <r>
    <n v="8.3000000000000007"/>
    <n v="0.65"/>
    <n v="0.1"/>
    <n v="2.9"/>
    <n v="8.8999999999999996E-2"/>
    <n v="17"/>
    <n v="40"/>
    <n v="0.99802999999999997"/>
    <n v="3.29"/>
    <n v="0.55000000000000004"/>
    <n v="9.5"/>
    <n v="5"/>
    <x v="0"/>
  </r>
  <r>
    <n v="8.3000000000000007"/>
    <n v="0.65"/>
    <n v="0.1"/>
    <n v="2.9"/>
    <n v="8.8999999999999996E-2"/>
    <n v="17"/>
    <n v="40"/>
    <n v="0.99802999999999997"/>
    <n v="3.29"/>
    <n v="0.55000000000000004"/>
    <n v="9.5"/>
    <n v="5"/>
    <x v="0"/>
  </r>
  <r>
    <n v="7.6"/>
    <n v="0.54"/>
    <n v="0.13"/>
    <n v="2.5"/>
    <n v="9.7000000000000003E-2"/>
    <n v="24"/>
    <n v="66"/>
    <n v="0.99785000000000001"/>
    <n v="3.39"/>
    <n v="0.61"/>
    <n v="9.4"/>
    <n v="5"/>
    <x v="0"/>
  </r>
  <r>
    <n v="8.3000000000000007"/>
    <n v="0.65"/>
    <n v="0.1"/>
    <n v="2.9"/>
    <n v="8.8999999999999996E-2"/>
    <n v="17"/>
    <n v="40"/>
    <n v="0.99802999999999997"/>
    <n v="3.29"/>
    <n v="0.55000000000000004"/>
    <n v="9.5"/>
    <n v="5"/>
    <x v="0"/>
  </r>
  <r>
    <n v="7.8"/>
    <n v="0.48"/>
    <n v="0.68"/>
    <n v="1.7"/>
    <n v="0.41499999999999998"/>
    <n v="14"/>
    <n v="32"/>
    <n v="0.99656"/>
    <n v="3.09"/>
    <n v="1.06"/>
    <n v="9.1"/>
    <n v="6"/>
    <x v="0"/>
  </r>
  <r>
    <n v="7.8"/>
    <n v="0.91"/>
    <n v="7.0000000000000007E-2"/>
    <n v="1.9"/>
    <n v="5.8000000000000003E-2"/>
    <n v="22"/>
    <n v="47"/>
    <n v="0.99524999999999997"/>
    <n v="3.51"/>
    <n v="0.43"/>
    <n v="10.7"/>
    <n v="6"/>
    <x v="0"/>
  </r>
  <r>
    <n v="6.3"/>
    <n v="0.98"/>
    <n v="0.01"/>
    <n v="2"/>
    <n v="5.7000000000000002E-2"/>
    <n v="15"/>
    <n v="33"/>
    <n v="0.99487999999999999"/>
    <n v="3.6"/>
    <n v="0.46"/>
    <n v="11.2"/>
    <n v="6"/>
    <x v="0"/>
  </r>
  <r>
    <n v="8.1"/>
    <n v="0.87"/>
    <n v="0"/>
    <n v="2.2000000000000002"/>
    <n v="8.4000000000000005E-2"/>
    <n v="10"/>
    <n v="31"/>
    <n v="0.99656"/>
    <n v="3.25"/>
    <n v="0.5"/>
    <n v="9.8000000000000007"/>
    <n v="5"/>
    <x v="0"/>
  </r>
  <r>
    <n v="8.1"/>
    <n v="0.87"/>
    <n v="0"/>
    <n v="2.2000000000000002"/>
    <n v="8.4000000000000005E-2"/>
    <n v="10"/>
    <n v="31"/>
    <n v="0.99656"/>
    <n v="3.25"/>
    <n v="0.5"/>
    <n v="9.8000000000000007"/>
    <n v="5"/>
    <x v="0"/>
  </r>
  <r>
    <n v="8.8000000000000007"/>
    <n v="0.42"/>
    <n v="0.21"/>
    <n v="2.5"/>
    <n v="9.1999999999999998E-2"/>
    <n v="33"/>
    <n v="88"/>
    <n v="0.99822999999999995"/>
    <n v="3.19"/>
    <n v="0.52"/>
    <n v="9.1999999999999993"/>
    <n v="5"/>
    <x v="0"/>
  </r>
  <r>
    <n v="9"/>
    <n v="0.57999999999999996"/>
    <n v="0.25"/>
    <n v="2.8"/>
    <n v="7.4999999999999997E-2"/>
    <n v="9"/>
    <n v="104"/>
    <n v="0.99778999999999995"/>
    <n v="3.23"/>
    <n v="0.56999999999999995"/>
    <n v="9.6999999999999993"/>
    <n v="5"/>
    <x v="0"/>
  </r>
  <r>
    <n v="9.3000000000000007"/>
    <n v="0.65500000000000003"/>
    <n v="0.26"/>
    <n v="2"/>
    <n v="9.6000000000000002E-2"/>
    <n v="5"/>
    <n v="35"/>
    <n v="0.99738000000000004"/>
    <n v="3.25"/>
    <n v="0.42"/>
    <n v="9.6"/>
    <n v="5"/>
    <x v="0"/>
  </r>
  <r>
    <n v="8.8000000000000007"/>
    <n v="0.7"/>
    <n v="0"/>
    <n v="1.7"/>
    <n v="6.9000000000000006E-2"/>
    <n v="8"/>
    <n v="19"/>
    <n v="0.99700999999999995"/>
    <n v="3.31"/>
    <n v="0.53"/>
    <n v="10"/>
    <n v="6"/>
    <x v="0"/>
  </r>
  <r>
    <n v="9.3000000000000007"/>
    <n v="0.65500000000000003"/>
    <n v="0.26"/>
    <n v="2"/>
    <n v="9.6000000000000002E-2"/>
    <n v="5"/>
    <n v="35"/>
    <n v="0.99738000000000004"/>
    <n v="3.25"/>
    <n v="0.42"/>
    <n v="9.6"/>
    <n v="5"/>
    <x v="0"/>
  </r>
  <r>
    <n v="9.1"/>
    <n v="0.68"/>
    <n v="0.11"/>
    <n v="2.8"/>
    <n v="9.2999999999999999E-2"/>
    <n v="11"/>
    <n v="44"/>
    <n v="0.99887999999999999"/>
    <n v="3.31"/>
    <n v="0.55000000000000004"/>
    <n v="9.5"/>
    <n v="6"/>
    <x v="0"/>
  </r>
  <r>
    <n v="9.1999999999999993"/>
    <n v="0.67"/>
    <n v="0.1"/>
    <n v="3"/>
    <n v="9.0999999999999998E-2"/>
    <n v="12"/>
    <n v="48"/>
    <n v="0.99887999999999999"/>
    <n v="3.31"/>
    <n v="0.54"/>
    <n v="9.5"/>
    <n v="6"/>
    <x v="0"/>
  </r>
  <r>
    <n v="8.8000000000000007"/>
    <n v="0.59"/>
    <n v="0.18"/>
    <n v="2.9"/>
    <n v="8.8999999999999996E-2"/>
    <n v="12"/>
    <n v="74"/>
    <n v="0.99738000000000004"/>
    <n v="3.14"/>
    <n v="0.54"/>
    <n v="9.4"/>
    <n v="5"/>
    <x v="0"/>
  </r>
  <r>
    <n v="7.5"/>
    <n v="0.6"/>
    <n v="0.32"/>
    <n v="2.7"/>
    <n v="0.10299999999999999"/>
    <n v="13"/>
    <n v="98"/>
    <n v="0.99938000000000005"/>
    <n v="3.45"/>
    <n v="0.62"/>
    <n v="9.5"/>
    <n v="5"/>
    <x v="0"/>
  </r>
  <r>
    <n v="7.1"/>
    <n v="0.59"/>
    <n v="0.02"/>
    <n v="2.2999999999999998"/>
    <n v="8.2000000000000003E-2"/>
    <n v="24"/>
    <n v="94"/>
    <n v="0.99743999999999999"/>
    <n v="3.55"/>
    <n v="0.53"/>
    <n v="9.6999999999999993"/>
    <n v="6"/>
    <x v="0"/>
  </r>
  <r>
    <n v="7.9"/>
    <n v="0.72"/>
    <n v="0.01"/>
    <n v="1.9"/>
    <n v="7.5999999999999998E-2"/>
    <n v="7"/>
    <n v="32"/>
    <n v="0.99668000000000001"/>
    <n v="3.39"/>
    <n v="0.54"/>
    <n v="9.6"/>
    <n v="5"/>
    <x v="0"/>
  </r>
  <r>
    <n v="7.1"/>
    <n v="0.59"/>
    <n v="0.02"/>
    <n v="2.2999999999999998"/>
    <n v="8.2000000000000003E-2"/>
    <n v="24"/>
    <n v="94"/>
    <n v="0.99743999999999999"/>
    <n v="3.55"/>
    <n v="0.53"/>
    <n v="9.6999999999999993"/>
    <n v="6"/>
    <x v="0"/>
  </r>
  <r>
    <n v="9.4"/>
    <n v="0.68500000000000005"/>
    <n v="0.26"/>
    <n v="2.4"/>
    <n v="8.2000000000000003E-2"/>
    <n v="23"/>
    <n v="143"/>
    <n v="0.99780000000000002"/>
    <n v="3.28"/>
    <n v="0.55000000000000004"/>
    <n v="9.4"/>
    <n v="5"/>
    <x v="0"/>
  </r>
  <r>
    <n v="9.5"/>
    <n v="0.56999999999999995"/>
    <n v="0.27"/>
    <n v="2.2999999999999998"/>
    <n v="8.2000000000000003E-2"/>
    <n v="23"/>
    <n v="144"/>
    <n v="0.99782000000000004"/>
    <n v="3.27"/>
    <n v="0.55000000000000004"/>
    <n v="9.4"/>
    <n v="5"/>
    <x v="0"/>
  </r>
  <r>
    <n v="7.9"/>
    <n v="0.4"/>
    <n v="0.28999999999999998"/>
    <n v="1.8"/>
    <n v="0.157"/>
    <n v="1"/>
    <n v="44"/>
    <n v="0.99729999999999996"/>
    <n v="3.3"/>
    <n v="0.92"/>
    <n v="9.5"/>
    <n v="6"/>
    <x v="0"/>
  </r>
  <r>
    <n v="7.9"/>
    <n v="0.4"/>
    <n v="0.3"/>
    <n v="1.8"/>
    <n v="0.157"/>
    <n v="2"/>
    <n v="45"/>
    <n v="0.99726999999999999"/>
    <n v="3.31"/>
    <n v="0.91"/>
    <n v="9.5"/>
    <n v="6"/>
    <x v="0"/>
  </r>
  <r>
    <n v="7.2"/>
    <n v="1"/>
    <n v="0"/>
    <n v="3"/>
    <n v="0.10199999999999999"/>
    <n v="7"/>
    <n v="16"/>
    <n v="0.99585999999999997"/>
    <n v="3.43"/>
    <n v="0.46"/>
    <n v="10"/>
    <n v="5"/>
    <x v="0"/>
  </r>
  <r>
    <n v="6.9"/>
    <n v="0.76500000000000001"/>
    <n v="0.18"/>
    <n v="2.4"/>
    <n v="0.24299999999999999"/>
    <n v="5.5"/>
    <n v="48"/>
    <n v="0.99612000000000001"/>
    <n v="3.4"/>
    <n v="0.6"/>
    <n v="10.3"/>
    <n v="6"/>
    <x v="0"/>
  </r>
  <r>
    <n v="6.9"/>
    <n v="0.63500000000000001"/>
    <n v="0.17"/>
    <n v="2.4"/>
    <n v="0.24099999999999999"/>
    <n v="6"/>
    <n v="18"/>
    <n v="0.99609999999999999"/>
    <n v="3.4"/>
    <n v="0.59"/>
    <n v="10.3"/>
    <n v="6"/>
    <x v="0"/>
  </r>
  <r>
    <n v="8.3000000000000007"/>
    <n v="0.43"/>
    <n v="0.3"/>
    <n v="3.4"/>
    <n v="7.9000000000000001E-2"/>
    <n v="7"/>
    <n v="34"/>
    <n v="0.99787999999999999"/>
    <n v="3.36"/>
    <n v="0.61"/>
    <n v="10.5"/>
    <n v="5"/>
    <x v="0"/>
  </r>
  <r>
    <n v="7.1"/>
    <n v="0.52"/>
    <n v="0.03"/>
    <n v="2.6"/>
    <n v="7.5999999999999998E-2"/>
    <n v="21"/>
    <n v="92"/>
    <n v="0.99744999999999995"/>
    <n v="3.5"/>
    <n v="0.6"/>
    <n v="9.8000000000000007"/>
    <n v="5"/>
    <x v="0"/>
  </r>
  <r>
    <n v="7"/>
    <n v="0.56999999999999995"/>
    <n v="0"/>
    <n v="2"/>
    <n v="0.19"/>
    <n v="12"/>
    <n v="45"/>
    <n v="0.99675999999999998"/>
    <n v="3.31"/>
    <n v="0.6"/>
    <n v="9.4"/>
    <n v="6"/>
    <x v="0"/>
  </r>
  <r>
    <n v="6.5"/>
    <n v="0.46"/>
    <n v="0.14000000000000001"/>
    <n v="2.4"/>
    <n v="0.114"/>
    <n v="9"/>
    <n v="37"/>
    <n v="0.99731999999999998"/>
    <n v="3.66"/>
    <n v="0.65"/>
    <n v="9.8000000000000007"/>
    <n v="5"/>
    <x v="0"/>
  </r>
  <r>
    <n v="9"/>
    <n v="0.82"/>
    <n v="0.05"/>
    <n v="2.4"/>
    <n v="8.1000000000000003E-2"/>
    <n v="26"/>
    <n v="96"/>
    <n v="0.99814000000000003"/>
    <n v="3.36"/>
    <n v="0.53"/>
    <n v="10"/>
    <n v="5"/>
    <x v="0"/>
  </r>
  <r>
    <n v="6.5"/>
    <n v="0.46"/>
    <n v="0.14000000000000001"/>
    <n v="2.4"/>
    <n v="0.114"/>
    <n v="9"/>
    <n v="37"/>
    <n v="0.99731999999999998"/>
    <n v="3.66"/>
    <n v="0.65"/>
    <n v="9.8000000000000007"/>
    <n v="5"/>
    <x v="0"/>
  </r>
  <r>
    <n v="7.1"/>
    <n v="0.59"/>
    <n v="0.01"/>
    <n v="2.5"/>
    <n v="7.6999999999999999E-2"/>
    <n v="20"/>
    <n v="85"/>
    <n v="0.99746000000000001"/>
    <n v="3.55"/>
    <n v="0.59"/>
    <n v="9.8000000000000007"/>
    <n v="5"/>
    <x v="0"/>
  </r>
  <r>
    <n v="9.9"/>
    <n v="0.35"/>
    <n v="0.41"/>
    <n v="2.2999999999999998"/>
    <n v="8.3000000000000004E-2"/>
    <n v="11"/>
    <n v="61"/>
    <n v="0.99819999999999998"/>
    <n v="3.21"/>
    <n v="0.5"/>
    <n v="9.5"/>
    <n v="5"/>
    <x v="0"/>
  </r>
  <r>
    <n v="9.9"/>
    <n v="0.35"/>
    <n v="0.41"/>
    <n v="2.2999999999999998"/>
    <n v="8.3000000000000004E-2"/>
    <n v="11"/>
    <n v="61"/>
    <n v="0.99819999999999998"/>
    <n v="3.21"/>
    <n v="0.5"/>
    <n v="9.5"/>
    <n v="5"/>
    <x v="0"/>
  </r>
  <r>
    <n v="10"/>
    <n v="0.56000000000000005"/>
    <n v="0.24"/>
    <n v="2.2000000000000002"/>
    <n v="7.9000000000000001E-2"/>
    <n v="19"/>
    <n v="58"/>
    <n v="0.99909999999999999"/>
    <n v="3.18"/>
    <n v="0.56000000000000005"/>
    <n v="10.1"/>
    <n v="6"/>
    <x v="0"/>
  </r>
  <r>
    <n v="10"/>
    <n v="0.56000000000000005"/>
    <n v="0.24"/>
    <n v="2.2000000000000002"/>
    <n v="7.9000000000000001E-2"/>
    <n v="19"/>
    <n v="58"/>
    <n v="0.99909999999999999"/>
    <n v="3.18"/>
    <n v="0.56000000000000005"/>
    <n v="10.1"/>
    <n v="6"/>
    <x v="0"/>
  </r>
  <r>
    <n v="8.6"/>
    <n v="0.63"/>
    <n v="0.17"/>
    <n v="2.9"/>
    <n v="9.9000000000000005E-2"/>
    <n v="21"/>
    <n v="119"/>
    <n v="0.998"/>
    <n v="3.09"/>
    <n v="0.52"/>
    <n v="9.3000000000000007"/>
    <n v="5"/>
    <x v="0"/>
  </r>
  <r>
    <n v="7.4"/>
    <n v="0.37"/>
    <n v="0.43"/>
    <n v="2.6"/>
    <n v="8.2000000000000003E-2"/>
    <n v="18"/>
    <n v="82"/>
    <n v="0.99707999999999997"/>
    <n v="3.33"/>
    <n v="0.68"/>
    <n v="9.6999999999999993"/>
    <n v="6"/>
    <x v="0"/>
  </r>
  <r>
    <n v="8.8000000000000007"/>
    <n v="0.64"/>
    <n v="0.17"/>
    <n v="2.9"/>
    <n v="8.4000000000000005E-2"/>
    <n v="25"/>
    <n v="130"/>
    <n v="0.99817999999999996"/>
    <n v="3.23"/>
    <n v="0.54"/>
    <n v="9.6"/>
    <n v="5"/>
    <x v="0"/>
  </r>
  <r>
    <n v="7.1"/>
    <n v="0.61"/>
    <n v="0.02"/>
    <n v="2.5"/>
    <n v="8.1000000000000003E-2"/>
    <n v="17"/>
    <n v="87"/>
    <n v="0.99744999999999995"/>
    <n v="3.48"/>
    <n v="0.6"/>
    <n v="9.6999999999999993"/>
    <n v="6"/>
    <x v="0"/>
  </r>
  <r>
    <n v="7.7"/>
    <n v="0.6"/>
    <n v="0"/>
    <n v="2.6"/>
    <n v="5.5E-2"/>
    <n v="7"/>
    <n v="13"/>
    <n v="0.99639"/>
    <n v="3.38"/>
    <n v="0.56000000000000005"/>
    <n v="10.8"/>
    <n v="5"/>
    <x v="0"/>
  </r>
  <r>
    <n v="10.1"/>
    <n v="0.27"/>
    <n v="0.54"/>
    <n v="2.2999999999999998"/>
    <n v="6.5000000000000002E-2"/>
    <n v="7"/>
    <n v="26"/>
    <n v="0.99531000000000003"/>
    <n v="3.17"/>
    <n v="0.53"/>
    <n v="12.5"/>
    <n v="6"/>
    <x v="0"/>
  </r>
  <r>
    <n v="10.8"/>
    <n v="0.89"/>
    <n v="0.3"/>
    <n v="2.6"/>
    <n v="0.13200000000000001"/>
    <n v="7"/>
    <n v="60"/>
    <n v="0.99785999999999997"/>
    <n v="2.99"/>
    <n v="1.18"/>
    <n v="10.199999999999999"/>
    <n v="5"/>
    <x v="0"/>
  </r>
  <r>
    <n v="8.6999999999999993"/>
    <n v="0.46"/>
    <n v="0.31"/>
    <n v="2.5"/>
    <n v="0.126"/>
    <n v="24"/>
    <n v="64"/>
    <n v="0.99746000000000001"/>
    <n v="3.1"/>
    <n v="0.74"/>
    <n v="9.6"/>
    <n v="5"/>
    <x v="0"/>
  </r>
  <r>
    <n v="9.3000000000000007"/>
    <n v="0.37"/>
    <n v="0.44"/>
    <n v="1.6"/>
    <n v="3.7999999999999999E-2"/>
    <n v="21"/>
    <n v="42"/>
    <n v="0.99526000000000003"/>
    <n v="3.24"/>
    <n v="0.81"/>
    <n v="10.8"/>
    <n v="7"/>
    <x v="1"/>
  </r>
  <r>
    <n v="9.4"/>
    <n v="0.5"/>
    <n v="0.34"/>
    <n v="3.6"/>
    <n v="8.2000000000000003E-2"/>
    <n v="5"/>
    <n v="14"/>
    <n v="0.99870000000000003"/>
    <n v="3.29"/>
    <n v="0.52"/>
    <n v="10.7"/>
    <n v="6"/>
    <x v="0"/>
  </r>
  <r>
    <n v="9.4"/>
    <n v="0.5"/>
    <n v="0.34"/>
    <n v="3.6"/>
    <n v="8.2000000000000003E-2"/>
    <n v="5"/>
    <n v="14"/>
    <n v="0.99870000000000003"/>
    <n v="3.29"/>
    <n v="0.52"/>
    <n v="10.7"/>
    <n v="6"/>
    <x v="0"/>
  </r>
  <r>
    <n v="7.2"/>
    <n v="0.61"/>
    <n v="0.08"/>
    <n v="4"/>
    <n v="8.2000000000000003E-2"/>
    <n v="26"/>
    <n v="108"/>
    <n v="0.99641000000000002"/>
    <n v="3.25"/>
    <n v="0.51"/>
    <n v="9.4"/>
    <n v="5"/>
    <x v="0"/>
  </r>
  <r>
    <n v="8.6"/>
    <n v="0.55000000000000004"/>
    <n v="0.09"/>
    <n v="3.3"/>
    <n v="6.8000000000000005E-2"/>
    <n v="8"/>
    <n v="17"/>
    <n v="0.99734999999999996"/>
    <n v="3.23"/>
    <n v="0.44"/>
    <n v="10"/>
    <n v="5"/>
    <x v="0"/>
  </r>
  <r>
    <n v="5.0999999999999996"/>
    <n v="0.58499999999999996"/>
    <n v="0"/>
    <n v="1.7"/>
    <n v="4.3999999999999997E-2"/>
    <n v="14"/>
    <n v="86"/>
    <n v="0.99263999999999997"/>
    <n v="3.56"/>
    <n v="0.94"/>
    <n v="12.9"/>
    <n v="7"/>
    <x v="1"/>
  </r>
  <r>
    <n v="7.7"/>
    <n v="0.56000000000000005"/>
    <n v="0.08"/>
    <n v="2.5"/>
    <n v="0.114"/>
    <n v="14"/>
    <n v="46"/>
    <n v="0.99709999999999999"/>
    <n v="3.24"/>
    <n v="0.66"/>
    <n v="9.6"/>
    <n v="6"/>
    <x v="0"/>
  </r>
  <r>
    <n v="8.4"/>
    <n v="0.52"/>
    <n v="0.22"/>
    <n v="2.7"/>
    <n v="8.4000000000000005E-2"/>
    <n v="4"/>
    <n v="18"/>
    <n v="0.99682000000000004"/>
    <n v="3.26"/>
    <n v="0.56999999999999995"/>
    <n v="9.9"/>
    <n v="6"/>
    <x v="0"/>
  </r>
  <r>
    <n v="8.1999999999999993"/>
    <n v="0.28000000000000003"/>
    <n v="0.4"/>
    <n v="2.4"/>
    <n v="5.1999999999999998E-2"/>
    <n v="4"/>
    <n v="10"/>
    <n v="0.99356"/>
    <n v="3.33"/>
    <n v="0.7"/>
    <n v="12.8"/>
    <n v="7"/>
    <x v="1"/>
  </r>
  <r>
    <n v="8.4"/>
    <n v="0.25"/>
    <n v="0.39"/>
    <n v="2"/>
    <n v="4.1000000000000002E-2"/>
    <n v="4"/>
    <n v="10"/>
    <n v="0.99385999999999997"/>
    <n v="3.27"/>
    <n v="0.71"/>
    <n v="12.5"/>
    <n v="7"/>
    <x v="1"/>
  </r>
  <r>
    <n v="8.1999999999999993"/>
    <n v="0.28000000000000003"/>
    <n v="0.4"/>
    <n v="2.4"/>
    <n v="5.1999999999999998E-2"/>
    <n v="4"/>
    <n v="10"/>
    <n v="0.99356"/>
    <n v="3.33"/>
    <n v="0.7"/>
    <n v="12.8"/>
    <n v="7"/>
    <x v="1"/>
  </r>
  <r>
    <n v="7.4"/>
    <n v="0.53"/>
    <n v="0.12"/>
    <n v="1.9"/>
    <n v="0.16500000000000001"/>
    <n v="4"/>
    <n v="12"/>
    <n v="0.99702000000000002"/>
    <n v="3.26"/>
    <n v="0.86"/>
    <n v="9.1999999999999993"/>
    <n v="5"/>
    <x v="0"/>
  </r>
  <r>
    <n v="7.6"/>
    <n v="0.48"/>
    <n v="0.31"/>
    <n v="2.8"/>
    <n v="7.0000000000000007E-2"/>
    <n v="4"/>
    <n v="15"/>
    <n v="0.99692999999999998"/>
    <n v="3.22"/>
    <n v="0.55000000000000004"/>
    <n v="10.3"/>
    <n v="6"/>
    <x v="0"/>
  </r>
  <r>
    <n v="7.3"/>
    <n v="0.49"/>
    <n v="0.1"/>
    <n v="2.6"/>
    <n v="6.8000000000000005E-2"/>
    <n v="4"/>
    <n v="14"/>
    <n v="0.99561999999999995"/>
    <n v="3.3"/>
    <n v="0.47"/>
    <n v="10.5"/>
    <n v="5"/>
    <x v="0"/>
  </r>
  <r>
    <n v="12.9"/>
    <n v="0.5"/>
    <n v="0.55000000000000004"/>
    <n v="2.8"/>
    <n v="7.1999999999999995E-2"/>
    <n v="7"/>
    <n v="24"/>
    <n v="1.0001199999999999"/>
    <n v="3.09"/>
    <n v="0.68"/>
    <n v="10.9"/>
    <n v="6"/>
    <x v="0"/>
  </r>
  <r>
    <n v="10.8"/>
    <n v="0.45"/>
    <n v="0.33"/>
    <n v="2.5"/>
    <n v="9.9000000000000005E-2"/>
    <n v="20"/>
    <n v="38"/>
    <n v="0.99817999999999996"/>
    <n v="3.24"/>
    <n v="0.71"/>
    <n v="10.8"/>
    <n v="5"/>
    <x v="0"/>
  </r>
  <r>
    <n v="6.9"/>
    <n v="0.39"/>
    <n v="0.24"/>
    <n v="2.1"/>
    <n v="0.10199999999999999"/>
    <n v="4"/>
    <n v="7"/>
    <n v="0.99461999999999995"/>
    <n v="3.44"/>
    <n v="0.57999999999999996"/>
    <n v="11.4"/>
    <n v="4"/>
    <x v="2"/>
  </r>
  <r>
    <n v="12.6"/>
    <n v="0.41"/>
    <n v="0.54"/>
    <n v="2.8"/>
    <n v="0.10299999999999999"/>
    <n v="19"/>
    <n v="41"/>
    <n v="0.99939"/>
    <n v="3.21"/>
    <n v="0.76"/>
    <n v="11.3"/>
    <n v="6"/>
    <x v="0"/>
  </r>
  <r>
    <n v="10.8"/>
    <n v="0.45"/>
    <n v="0.33"/>
    <n v="2.5"/>
    <n v="9.9000000000000005E-2"/>
    <n v="20"/>
    <n v="38"/>
    <n v="0.99817999999999996"/>
    <n v="3.24"/>
    <n v="0.71"/>
    <n v="10.8"/>
    <n v="5"/>
    <x v="0"/>
  </r>
  <r>
    <n v="9.8000000000000007"/>
    <n v="0.51"/>
    <n v="0.19"/>
    <n v="3.2"/>
    <n v="8.1000000000000003E-2"/>
    <n v="8"/>
    <n v="30"/>
    <n v="0.99839999999999995"/>
    <n v="3.23"/>
    <n v="0.57999999999999996"/>
    <n v="10.5"/>
    <n v="6"/>
    <x v="0"/>
  </r>
  <r>
    <n v="10.8"/>
    <n v="0.28999999999999998"/>
    <n v="0.42"/>
    <n v="1.6"/>
    <n v="8.4000000000000005E-2"/>
    <n v="19"/>
    <n v="27"/>
    <n v="0.99544999999999995"/>
    <n v="3.28"/>
    <n v="0.73"/>
    <n v="11.9"/>
    <n v="6"/>
    <x v="0"/>
  </r>
  <r>
    <n v="7.1"/>
    <n v="0.71499999999999997"/>
    <n v="0"/>
    <n v="2.35"/>
    <n v="7.0999999999999994E-2"/>
    <n v="21"/>
    <n v="47"/>
    <n v="0.99631999999999998"/>
    <n v="3.29"/>
    <n v="0.45"/>
    <n v="9.4"/>
    <n v="5"/>
    <x v="0"/>
  </r>
  <r>
    <n v="9.1"/>
    <n v="0.66"/>
    <n v="0.15"/>
    <n v="3.2"/>
    <n v="9.7000000000000003E-2"/>
    <n v="9"/>
    <n v="59"/>
    <n v="0.99975999999999998"/>
    <n v="3.28"/>
    <n v="0.54"/>
    <n v="9.6"/>
    <n v="5"/>
    <x v="0"/>
  </r>
  <r>
    <n v="7"/>
    <n v="0.68500000000000005"/>
    <n v="0"/>
    <n v="1.9"/>
    <n v="9.9000000000000005E-2"/>
    <n v="9"/>
    <n v="22"/>
    <n v="0.99605999999999995"/>
    <n v="3.34"/>
    <n v="0.6"/>
    <n v="9.6999999999999993"/>
    <n v="5"/>
    <x v="0"/>
  </r>
  <r>
    <n v="4.9000000000000004"/>
    <n v="0.42"/>
    <n v="0"/>
    <n v="2.1"/>
    <n v="4.8000000000000001E-2"/>
    <n v="16"/>
    <n v="42"/>
    <n v="0.99153999999999998"/>
    <n v="3.71"/>
    <n v="0.74"/>
    <n v="14"/>
    <n v="7"/>
    <x v="1"/>
  </r>
  <r>
    <n v="6.7"/>
    <n v="0.54"/>
    <n v="0.13"/>
    <n v="2"/>
    <n v="7.5999999999999998E-2"/>
    <n v="15"/>
    <n v="36"/>
    <n v="0.99729999999999996"/>
    <n v="3.61"/>
    <n v="0.64"/>
    <n v="9.8000000000000007"/>
    <n v="5"/>
    <x v="0"/>
  </r>
  <r>
    <n v="6.7"/>
    <n v="0.54"/>
    <n v="0.13"/>
    <n v="2"/>
    <n v="7.5999999999999998E-2"/>
    <n v="15"/>
    <n v="36"/>
    <n v="0.99729999999999996"/>
    <n v="3.61"/>
    <n v="0.64"/>
    <n v="9.8000000000000007"/>
    <n v="5"/>
    <x v="0"/>
  </r>
  <r>
    <n v="7.1"/>
    <n v="0.48"/>
    <n v="0.28000000000000003"/>
    <n v="2.8"/>
    <n v="6.8000000000000005E-2"/>
    <n v="6"/>
    <n v="16"/>
    <n v="0.99682000000000004"/>
    <n v="3.24"/>
    <n v="0.53"/>
    <n v="10.3"/>
    <n v="5"/>
    <x v="0"/>
  </r>
  <r>
    <n v="7.1"/>
    <n v="0.46"/>
    <n v="0.14000000000000001"/>
    <n v="2.8"/>
    <n v="7.5999999999999998E-2"/>
    <n v="15"/>
    <n v="37"/>
    <n v="0.99624000000000001"/>
    <n v="3.36"/>
    <n v="0.49"/>
    <n v="10.7"/>
    <n v="5"/>
    <x v="0"/>
  </r>
  <r>
    <n v="7.5"/>
    <n v="0.27"/>
    <n v="0.34"/>
    <n v="2.2999999999999998"/>
    <n v="0.05"/>
    <n v="4"/>
    <n v="8"/>
    <n v="0.99509999999999998"/>
    <n v="3.4"/>
    <n v="0.64"/>
    <n v="11"/>
    <n v="7"/>
    <x v="1"/>
  </r>
  <r>
    <n v="7.1"/>
    <n v="0.46"/>
    <n v="0.14000000000000001"/>
    <n v="2.8"/>
    <n v="7.5999999999999998E-2"/>
    <n v="15"/>
    <n v="37"/>
    <n v="0.99624000000000001"/>
    <n v="3.36"/>
    <n v="0.49"/>
    <n v="10.7"/>
    <n v="5"/>
    <x v="0"/>
  </r>
  <r>
    <n v="7.8"/>
    <n v="0.56999999999999995"/>
    <n v="0.09"/>
    <n v="2.2999999999999998"/>
    <n v="6.5000000000000002E-2"/>
    <n v="34"/>
    <n v="45"/>
    <n v="0.99417"/>
    <n v="3.46"/>
    <n v="0.74"/>
    <n v="12.7"/>
    <n v="8"/>
    <x v="1"/>
  </r>
  <r>
    <n v="5.9"/>
    <n v="0.61"/>
    <n v="0.08"/>
    <n v="2.1"/>
    <n v="7.0999999999999994E-2"/>
    <n v="16"/>
    <n v="24"/>
    <n v="0.99375999999999998"/>
    <n v="3.56"/>
    <n v="0.77"/>
    <n v="11.1"/>
    <n v="6"/>
    <x v="0"/>
  </r>
  <r>
    <n v="7.5"/>
    <n v="0.68500000000000005"/>
    <n v="7.0000000000000007E-2"/>
    <n v="2.5"/>
    <n v="5.8000000000000003E-2"/>
    <n v="5"/>
    <n v="9"/>
    <n v="0.99631999999999998"/>
    <n v="3.38"/>
    <n v="0.55000000000000004"/>
    <n v="10.9"/>
    <n v="4"/>
    <x v="2"/>
  </r>
  <r>
    <n v="5.9"/>
    <n v="0.61"/>
    <n v="0.08"/>
    <n v="2.1"/>
    <n v="7.0999999999999994E-2"/>
    <n v="16"/>
    <n v="24"/>
    <n v="0.99375999999999998"/>
    <n v="3.56"/>
    <n v="0.77"/>
    <n v="11.1"/>
    <n v="6"/>
    <x v="0"/>
  </r>
  <r>
    <n v="10.4"/>
    <n v="0.44"/>
    <n v="0.42"/>
    <n v="1.5"/>
    <n v="0.14499999999999999"/>
    <n v="34"/>
    <n v="48"/>
    <n v="0.99831999999999999"/>
    <n v="3.38"/>
    <n v="0.86"/>
    <n v="9.9"/>
    <n v="3"/>
    <x v="2"/>
  </r>
  <r>
    <n v="11.6"/>
    <n v="0.47"/>
    <n v="0.44"/>
    <n v="1.6"/>
    <n v="0.14699999999999999"/>
    <n v="36"/>
    <n v="51"/>
    <n v="0.99836000000000003"/>
    <n v="3.38"/>
    <n v="0.86"/>
    <n v="9.9"/>
    <n v="4"/>
    <x v="2"/>
  </r>
  <r>
    <n v="8.8000000000000007"/>
    <n v="0.68500000000000005"/>
    <n v="0.26"/>
    <n v="1.6"/>
    <n v="8.7999999999999995E-2"/>
    <n v="16"/>
    <n v="23"/>
    <n v="0.99694000000000005"/>
    <n v="3.32"/>
    <n v="0.47"/>
    <n v="9.4"/>
    <n v="5"/>
    <x v="0"/>
  </r>
  <r>
    <n v="7.6"/>
    <n v="0.66500000000000004"/>
    <n v="0.1"/>
    <n v="1.5"/>
    <n v="6.6000000000000003E-2"/>
    <n v="27"/>
    <n v="55"/>
    <n v="0.99655000000000005"/>
    <n v="3.39"/>
    <n v="0.51"/>
    <n v="9.3000000000000007"/>
    <n v="5"/>
    <x v="0"/>
  </r>
  <r>
    <n v="6.7"/>
    <n v="0.28000000000000003"/>
    <n v="0.28000000000000003"/>
    <n v="2.4"/>
    <n v="1.2E-2"/>
    <n v="36"/>
    <n v="100"/>
    <n v="0.99063999999999997"/>
    <n v="3.26"/>
    <n v="0.39"/>
    <n v="11.7"/>
    <n v="7"/>
    <x v="1"/>
  </r>
  <r>
    <n v="6.7"/>
    <n v="0.28000000000000003"/>
    <n v="0.28000000000000003"/>
    <n v="2.4"/>
    <n v="1.2E-2"/>
    <n v="36"/>
    <n v="100"/>
    <n v="0.99063999999999997"/>
    <n v="3.26"/>
    <n v="0.39"/>
    <n v="11.7"/>
    <n v="7"/>
    <x v="1"/>
  </r>
  <r>
    <n v="10.1"/>
    <n v="0.31"/>
    <n v="0.35"/>
    <n v="1.6"/>
    <n v="7.4999999999999997E-2"/>
    <n v="9"/>
    <n v="28"/>
    <n v="0.99672000000000005"/>
    <n v="3.24"/>
    <n v="0.83"/>
    <n v="11.2"/>
    <n v="7"/>
    <x v="1"/>
  </r>
  <r>
    <n v="6"/>
    <n v="0.5"/>
    <n v="0.04"/>
    <n v="2.2000000000000002"/>
    <n v="9.1999999999999998E-2"/>
    <n v="13"/>
    <n v="26"/>
    <n v="0.99646999999999997"/>
    <n v="3.46"/>
    <n v="0.47"/>
    <n v="10"/>
    <n v="5"/>
    <x v="0"/>
  </r>
  <r>
    <n v="11.1"/>
    <n v="0.42"/>
    <n v="0.47"/>
    <n v="2.65"/>
    <n v="8.5000000000000006E-2"/>
    <n v="9"/>
    <n v="34"/>
    <n v="0.99736000000000002"/>
    <n v="3.24"/>
    <n v="0.77"/>
    <n v="12.1"/>
    <n v="7"/>
    <x v="1"/>
  </r>
  <r>
    <n v="6.6"/>
    <n v="0.66"/>
    <n v="0"/>
    <n v="3"/>
    <n v="0.115"/>
    <n v="21"/>
    <n v="31"/>
    <n v="0.99629000000000001"/>
    <n v="3.45"/>
    <n v="0.63"/>
    <n v="10.3"/>
    <n v="5"/>
    <x v="0"/>
  </r>
  <r>
    <n v="10.6"/>
    <n v="0.5"/>
    <n v="0.45"/>
    <n v="2.6"/>
    <n v="0.11899999999999999"/>
    <n v="34"/>
    <n v="68"/>
    <n v="0.99707999999999997"/>
    <n v="3.23"/>
    <n v="0.72"/>
    <n v="10.9"/>
    <n v="6"/>
    <x v="0"/>
  </r>
  <r>
    <n v="7.1"/>
    <n v="0.68500000000000005"/>
    <n v="0.35"/>
    <n v="2"/>
    <n v="8.7999999999999995E-2"/>
    <n v="9"/>
    <n v="92"/>
    <n v="0.99629999999999996"/>
    <n v="3.28"/>
    <n v="0.62"/>
    <n v="9.4"/>
    <n v="5"/>
    <x v="0"/>
  </r>
  <r>
    <n v="9.9"/>
    <n v="0.25"/>
    <n v="0.46"/>
    <n v="1.7"/>
    <n v="6.2E-2"/>
    <n v="26"/>
    <n v="42"/>
    <n v="0.99590000000000001"/>
    <n v="3.18"/>
    <n v="0.83"/>
    <n v="10.6"/>
    <n v="6"/>
    <x v="0"/>
  </r>
  <r>
    <n v="6.4"/>
    <n v="0.64"/>
    <n v="0.21"/>
    <n v="1.8"/>
    <n v="8.1000000000000003E-2"/>
    <n v="14"/>
    <n v="31"/>
    <n v="0.99689000000000005"/>
    <n v="3.59"/>
    <n v="0.66"/>
    <n v="9.8000000000000007"/>
    <n v="5"/>
    <x v="0"/>
  </r>
  <r>
    <n v="6.4"/>
    <n v="0.64"/>
    <n v="0.21"/>
    <n v="1.8"/>
    <n v="8.1000000000000003E-2"/>
    <n v="14"/>
    <n v="31"/>
    <n v="0.99689000000000005"/>
    <n v="3.59"/>
    <n v="0.66"/>
    <n v="9.8000000000000007"/>
    <n v="5"/>
    <x v="0"/>
  </r>
  <r>
    <n v="7.4"/>
    <n v="0.68"/>
    <n v="0.16"/>
    <n v="1.8"/>
    <n v="7.8E-2"/>
    <n v="12"/>
    <n v="39"/>
    <n v="0.99770000000000003"/>
    <n v="3.5"/>
    <n v="0.7"/>
    <n v="9.9"/>
    <n v="6"/>
    <x v="0"/>
  </r>
  <r>
    <n v="6.4"/>
    <n v="0.64"/>
    <n v="0.21"/>
    <n v="1.8"/>
    <n v="8.1000000000000003E-2"/>
    <n v="14"/>
    <n v="31"/>
    <n v="0.99689000000000005"/>
    <n v="3.59"/>
    <n v="0.66"/>
    <n v="9.8000000000000007"/>
    <n v="5"/>
    <x v="0"/>
  </r>
  <r>
    <n v="6.4"/>
    <n v="0.63"/>
    <n v="0.21"/>
    <n v="1.6"/>
    <n v="0.08"/>
    <n v="12"/>
    <n v="32"/>
    <n v="0.99689000000000005"/>
    <n v="3.58"/>
    <n v="0.66"/>
    <n v="9.8000000000000007"/>
    <n v="5"/>
    <x v="0"/>
  </r>
  <r>
    <n v="9.3000000000000007"/>
    <n v="0.43"/>
    <n v="0.44"/>
    <n v="1.9"/>
    <n v="8.5000000000000006E-2"/>
    <n v="9"/>
    <n v="22"/>
    <n v="0.99707999999999997"/>
    <n v="3.28"/>
    <n v="0.55000000000000004"/>
    <n v="9.5"/>
    <n v="5"/>
    <x v="0"/>
  </r>
  <r>
    <n v="9.3000000000000007"/>
    <n v="0.43"/>
    <n v="0.44"/>
    <n v="1.9"/>
    <n v="8.5000000000000006E-2"/>
    <n v="9"/>
    <n v="22"/>
    <n v="0.99707999999999997"/>
    <n v="3.28"/>
    <n v="0.55000000000000004"/>
    <n v="9.5"/>
    <n v="5"/>
    <x v="0"/>
  </r>
  <r>
    <n v="8"/>
    <n v="0.42"/>
    <n v="0.32"/>
    <n v="2.5"/>
    <n v="0.08"/>
    <n v="26"/>
    <n v="122"/>
    <n v="0.99800999999999995"/>
    <n v="3.22"/>
    <n v="1.07"/>
    <n v="9.6999999999999993"/>
    <n v="5"/>
    <x v="0"/>
  </r>
  <r>
    <n v="9.3000000000000007"/>
    <n v="0.36"/>
    <n v="0.39"/>
    <n v="1.5"/>
    <n v="0.08"/>
    <n v="41"/>
    <n v="55"/>
    <n v="0.99651999999999996"/>
    <n v="3.47"/>
    <n v="0.73"/>
    <n v="10.9"/>
    <n v="6"/>
    <x v="0"/>
  </r>
  <r>
    <n v="9.3000000000000007"/>
    <n v="0.36"/>
    <n v="0.39"/>
    <n v="1.5"/>
    <n v="0.08"/>
    <n v="41"/>
    <n v="55"/>
    <n v="0.99651999999999996"/>
    <n v="3.47"/>
    <n v="0.73"/>
    <n v="10.9"/>
    <n v="6"/>
    <x v="0"/>
  </r>
  <r>
    <n v="7.6"/>
    <n v="0.73499999999999999"/>
    <n v="0.02"/>
    <n v="2.5"/>
    <n v="7.0999999999999994E-2"/>
    <n v="10"/>
    <n v="14"/>
    <n v="0.99538000000000004"/>
    <n v="3.51"/>
    <n v="0.71"/>
    <n v="11.7"/>
    <n v="7"/>
    <x v="1"/>
  </r>
  <r>
    <n v="9.3000000000000007"/>
    <n v="0.36"/>
    <n v="0.39"/>
    <n v="1.5"/>
    <n v="0.08"/>
    <n v="41"/>
    <n v="55"/>
    <n v="0.99651999999999996"/>
    <n v="3.47"/>
    <n v="0.73"/>
    <n v="10.9"/>
    <n v="6"/>
    <x v="0"/>
  </r>
  <r>
    <n v="8.1999999999999993"/>
    <n v="0.26"/>
    <n v="0.34"/>
    <n v="2.5"/>
    <n v="7.2999999999999995E-2"/>
    <n v="16"/>
    <n v="47"/>
    <n v="0.99594000000000005"/>
    <n v="3.4"/>
    <n v="0.78"/>
    <n v="11.3"/>
    <n v="7"/>
    <x v="1"/>
  </r>
  <r>
    <n v="11.7"/>
    <n v="0.28000000000000003"/>
    <n v="0.47"/>
    <n v="1.7"/>
    <n v="5.3999999999999999E-2"/>
    <n v="17"/>
    <n v="32"/>
    <n v="0.99685999999999997"/>
    <n v="3.15"/>
    <n v="0.67"/>
    <n v="10.6"/>
    <n v="7"/>
    <x v="1"/>
  </r>
  <r>
    <n v="6.8"/>
    <n v="0.56000000000000005"/>
    <n v="0.22"/>
    <n v="1.8"/>
    <n v="7.3999999999999996E-2"/>
    <n v="15"/>
    <n v="24"/>
    <n v="0.99438000000000004"/>
    <n v="3.4"/>
    <n v="0.82"/>
    <n v="11.2"/>
    <n v="6"/>
    <x v="0"/>
  </r>
  <r>
    <n v="7.2"/>
    <n v="0.62"/>
    <n v="0.06"/>
    <n v="2.7"/>
    <n v="7.6999999999999999E-2"/>
    <n v="15"/>
    <n v="85"/>
    <n v="0.99746000000000001"/>
    <n v="3.51"/>
    <n v="0.54"/>
    <n v="9.5"/>
    <n v="5"/>
    <x v="0"/>
  </r>
  <r>
    <n v="5.8"/>
    <n v="1.01"/>
    <n v="0.66"/>
    <n v="2"/>
    <n v="3.9E-2"/>
    <n v="15"/>
    <n v="88"/>
    <n v="0.99356999999999995"/>
    <n v="3.66"/>
    <n v="0.6"/>
    <n v="11.5"/>
    <n v="6"/>
    <x v="0"/>
  </r>
  <r>
    <n v="7.5"/>
    <n v="0.42"/>
    <n v="0.32"/>
    <n v="2.7"/>
    <n v="6.7000000000000004E-2"/>
    <n v="7"/>
    <n v="25"/>
    <n v="0.99628000000000005"/>
    <n v="3.24"/>
    <n v="0.44"/>
    <n v="10.4"/>
    <n v="5"/>
    <x v="0"/>
  </r>
  <r>
    <n v="7.2"/>
    <n v="0.62"/>
    <n v="0.06"/>
    <n v="2.5"/>
    <n v="7.8E-2"/>
    <n v="17"/>
    <n v="84"/>
    <n v="0.99746000000000001"/>
    <n v="3.51"/>
    <n v="0.53"/>
    <n v="9.6999999999999993"/>
    <n v="5"/>
    <x v="0"/>
  </r>
  <r>
    <n v="7.2"/>
    <n v="0.62"/>
    <n v="0.06"/>
    <n v="2.7"/>
    <n v="7.6999999999999999E-2"/>
    <n v="15"/>
    <n v="85"/>
    <n v="0.99746000000000001"/>
    <n v="3.51"/>
    <n v="0.54"/>
    <n v="9.5"/>
    <n v="5"/>
    <x v="0"/>
  </r>
  <r>
    <n v="7.2"/>
    <n v="0.63500000000000001"/>
    <n v="7.0000000000000007E-2"/>
    <n v="2.6"/>
    <n v="7.6999999999999999E-2"/>
    <n v="16"/>
    <n v="86"/>
    <n v="0.99748000000000003"/>
    <n v="3.51"/>
    <n v="0.54"/>
    <n v="9.6999999999999993"/>
    <n v="5"/>
    <x v="0"/>
  </r>
  <r>
    <n v="6.8"/>
    <n v="0.49"/>
    <n v="0.22"/>
    <n v="2.2999999999999998"/>
    <n v="7.0999999999999994E-2"/>
    <n v="13"/>
    <n v="24"/>
    <n v="0.99438000000000004"/>
    <n v="3.41"/>
    <n v="0.83"/>
    <n v="11.3"/>
    <n v="6"/>
    <x v="0"/>
  </r>
  <r>
    <n v="6.9"/>
    <n v="0.51"/>
    <n v="0.23"/>
    <n v="2"/>
    <n v="7.1999999999999995E-2"/>
    <n v="13"/>
    <n v="22"/>
    <n v="0.99438000000000004"/>
    <n v="3.4"/>
    <n v="0.84"/>
    <n v="11.2"/>
    <n v="6"/>
    <x v="0"/>
  </r>
  <r>
    <n v="6.8"/>
    <n v="0.56000000000000005"/>
    <n v="0.22"/>
    <n v="1.8"/>
    <n v="7.3999999999999996E-2"/>
    <n v="15"/>
    <n v="24"/>
    <n v="0.99438000000000004"/>
    <n v="3.4"/>
    <n v="0.82"/>
    <n v="11.2"/>
    <n v="6"/>
    <x v="0"/>
  </r>
  <r>
    <n v="7.6"/>
    <n v="0.63"/>
    <n v="0.03"/>
    <n v="2"/>
    <n v="0.08"/>
    <n v="27"/>
    <n v="43"/>
    <n v="0.99578"/>
    <n v="3.44"/>
    <n v="0.64"/>
    <n v="10.9"/>
    <n v="6"/>
    <x v="0"/>
  </r>
  <r>
    <n v="7.7"/>
    <n v="0.71499999999999997"/>
    <n v="0.01"/>
    <n v="2.1"/>
    <n v="6.4000000000000001E-2"/>
    <n v="31"/>
    <n v="43"/>
    <n v="0.99370999999999998"/>
    <n v="3.41"/>
    <n v="0.56999999999999995"/>
    <n v="11.8"/>
    <n v="6"/>
    <x v="0"/>
  </r>
  <r>
    <n v="6.9"/>
    <n v="0.56000000000000005"/>
    <n v="0.03"/>
    <n v="1.5"/>
    <n v="8.5999999999999993E-2"/>
    <n v="36"/>
    <n v="46"/>
    <n v="0.99521999999999999"/>
    <n v="3.53"/>
    <n v="0.56999999999999995"/>
    <n v="10.6"/>
    <n v="5"/>
    <x v="0"/>
  </r>
  <r>
    <n v="7.3"/>
    <n v="0.35"/>
    <n v="0.24"/>
    <n v="2"/>
    <n v="6.7000000000000004E-2"/>
    <n v="28"/>
    <n v="48"/>
    <n v="0.99575999999999998"/>
    <n v="3.43"/>
    <n v="0.54"/>
    <n v="10"/>
    <n v="4"/>
    <x v="2"/>
  </r>
  <r>
    <n v="9.1"/>
    <n v="0.21"/>
    <n v="0.37"/>
    <n v="1.6"/>
    <n v="6.7000000000000004E-2"/>
    <n v="6"/>
    <n v="10"/>
    <n v="0.99551999999999996"/>
    <n v="3.23"/>
    <n v="0.57999999999999996"/>
    <n v="11.1"/>
    <n v="7"/>
    <x v="1"/>
  </r>
  <r>
    <n v="10.4"/>
    <n v="0.38"/>
    <n v="0.46"/>
    <n v="2.1"/>
    <n v="0.104"/>
    <n v="6"/>
    <n v="10"/>
    <n v="0.99663999999999997"/>
    <n v="3.12"/>
    <n v="0.65"/>
    <n v="11.8"/>
    <n v="7"/>
    <x v="1"/>
  </r>
  <r>
    <n v="8.8000000000000007"/>
    <n v="0.31"/>
    <n v="0.4"/>
    <n v="2.8"/>
    <n v="0.109"/>
    <n v="7"/>
    <n v="16"/>
    <n v="0.99614000000000003"/>
    <n v="3.31"/>
    <n v="0.79"/>
    <n v="11.8"/>
    <n v="7"/>
    <x v="1"/>
  </r>
  <r>
    <n v="7.1"/>
    <n v="0.47"/>
    <n v="0"/>
    <n v="2.2000000000000002"/>
    <n v="6.7000000000000004E-2"/>
    <n v="7"/>
    <n v="14"/>
    <n v="0.99517"/>
    <n v="3.4"/>
    <n v="0.57999999999999996"/>
    <n v="10.9"/>
    <n v="4"/>
    <x v="2"/>
  </r>
  <r>
    <n v="7.7"/>
    <n v="0.71499999999999997"/>
    <n v="0.01"/>
    <n v="2.1"/>
    <n v="6.4000000000000001E-2"/>
    <n v="31"/>
    <n v="43"/>
    <n v="0.99370999999999998"/>
    <n v="3.41"/>
    <n v="0.56999999999999995"/>
    <n v="11.8"/>
    <n v="6"/>
    <x v="0"/>
  </r>
  <r>
    <n v="8.8000000000000007"/>
    <n v="0.61"/>
    <n v="0.19"/>
    <n v="4"/>
    <n v="9.4E-2"/>
    <n v="30"/>
    <n v="69"/>
    <n v="0.99787000000000003"/>
    <n v="3.22"/>
    <n v="0.5"/>
    <n v="10"/>
    <n v="6"/>
    <x v="0"/>
  </r>
  <r>
    <n v="7.2"/>
    <n v="0.6"/>
    <n v="0.04"/>
    <n v="2.5"/>
    <n v="7.5999999999999998E-2"/>
    <n v="18"/>
    <n v="88"/>
    <n v="0.99744999999999995"/>
    <n v="3.53"/>
    <n v="0.55000000000000004"/>
    <n v="9.5"/>
    <n v="5"/>
    <x v="0"/>
  </r>
  <r>
    <n v="9.1999999999999993"/>
    <n v="0.56000000000000005"/>
    <n v="0.18"/>
    <n v="1.6"/>
    <n v="7.8E-2"/>
    <n v="10"/>
    <n v="21"/>
    <n v="0.99575999999999998"/>
    <n v="3.15"/>
    <n v="0.49"/>
    <n v="9.9"/>
    <n v="5"/>
    <x v="0"/>
  </r>
  <r>
    <n v="7.6"/>
    <n v="0.71499999999999997"/>
    <n v="0"/>
    <n v="2.1"/>
    <n v="6.8000000000000005E-2"/>
    <n v="30"/>
    <n v="35"/>
    <n v="0.99533000000000005"/>
    <n v="3.48"/>
    <n v="0.65"/>
    <n v="11.4"/>
    <n v="6"/>
    <x v="0"/>
  </r>
  <r>
    <n v="8.4"/>
    <n v="0.31"/>
    <n v="0.28999999999999998"/>
    <n v="3.1"/>
    <n v="0.19400000000000001"/>
    <n v="14"/>
    <n v="26"/>
    <n v="0.99536000000000002"/>
    <n v="3.22"/>
    <n v="0.78"/>
    <n v="12"/>
    <n v="6"/>
    <x v="0"/>
  </r>
  <r>
    <n v="7.2"/>
    <n v="0.6"/>
    <n v="0.04"/>
    <n v="2.5"/>
    <n v="7.5999999999999998E-2"/>
    <n v="18"/>
    <n v="88"/>
    <n v="0.99744999999999995"/>
    <n v="3.53"/>
    <n v="0.55000000000000004"/>
    <n v="9.5"/>
    <n v="5"/>
    <x v="0"/>
  </r>
  <r>
    <n v="8.8000000000000007"/>
    <n v="0.61"/>
    <n v="0.19"/>
    <n v="4"/>
    <n v="9.4E-2"/>
    <n v="30"/>
    <n v="69"/>
    <n v="0.99787000000000003"/>
    <n v="3.22"/>
    <n v="0.5"/>
    <n v="10"/>
    <n v="6"/>
    <x v="0"/>
  </r>
  <r>
    <n v="8.9"/>
    <n v="0.75"/>
    <n v="0.14000000000000001"/>
    <n v="2.5"/>
    <n v="8.5999999999999993E-2"/>
    <n v="9"/>
    <n v="30"/>
    <n v="0.99824000000000002"/>
    <n v="3.34"/>
    <n v="0.64"/>
    <n v="10.5"/>
    <n v="5"/>
    <x v="0"/>
  </r>
  <r>
    <n v="9"/>
    <n v="0.8"/>
    <n v="0.12"/>
    <n v="2.4"/>
    <n v="8.3000000000000004E-2"/>
    <n v="8"/>
    <n v="28"/>
    <n v="0.99836000000000003"/>
    <n v="3.33"/>
    <n v="0.65"/>
    <n v="10.4"/>
    <n v="6"/>
    <x v="0"/>
  </r>
  <r>
    <n v="10.7"/>
    <n v="0.52"/>
    <n v="0.38"/>
    <n v="2.6"/>
    <n v="6.6000000000000003E-2"/>
    <n v="29"/>
    <n v="56"/>
    <n v="0.99577000000000004"/>
    <n v="3.15"/>
    <n v="0.79"/>
    <n v="12.1"/>
    <n v="7"/>
    <x v="1"/>
  </r>
  <r>
    <n v="6.8"/>
    <n v="0.56999999999999995"/>
    <n v="0"/>
    <n v="2.5"/>
    <n v="7.1999999999999995E-2"/>
    <n v="32"/>
    <n v="64"/>
    <n v="0.99490999999999996"/>
    <n v="3.43"/>
    <n v="0.56000000000000005"/>
    <n v="11.2"/>
    <n v="6"/>
    <x v="0"/>
  </r>
  <r>
    <n v="10.7"/>
    <n v="0.9"/>
    <n v="0.34"/>
    <n v="6.6"/>
    <n v="0.112"/>
    <n v="23"/>
    <n v="99"/>
    <n v="1.0028900000000001"/>
    <n v="3.22"/>
    <n v="0.68"/>
    <n v="9.3000000000000007"/>
    <n v="5"/>
    <x v="0"/>
  </r>
  <r>
    <n v="7.2"/>
    <n v="0.34"/>
    <n v="0.24"/>
    <n v="2"/>
    <n v="7.0999999999999994E-2"/>
    <n v="30"/>
    <n v="52"/>
    <n v="0.99575999999999998"/>
    <n v="3.44"/>
    <n v="0.57999999999999996"/>
    <n v="10.1"/>
    <n v="5"/>
    <x v="0"/>
  </r>
  <r>
    <n v="7.2"/>
    <n v="0.66"/>
    <n v="0.03"/>
    <n v="2.2999999999999998"/>
    <n v="7.8E-2"/>
    <n v="16"/>
    <n v="86"/>
    <n v="0.99743000000000004"/>
    <n v="3.53"/>
    <n v="0.56999999999999995"/>
    <n v="9.6999999999999993"/>
    <n v="5"/>
    <x v="0"/>
  </r>
  <r>
    <n v="10.1"/>
    <n v="0.45"/>
    <n v="0.23"/>
    <n v="1.9"/>
    <n v="8.2000000000000003E-2"/>
    <n v="10"/>
    <n v="18"/>
    <n v="0.99773999999999996"/>
    <n v="3.22"/>
    <n v="0.65"/>
    <n v="9.3000000000000007"/>
    <n v="6"/>
    <x v="0"/>
  </r>
  <r>
    <n v="7.2"/>
    <n v="0.66"/>
    <n v="0.03"/>
    <n v="2.2999999999999998"/>
    <n v="7.8E-2"/>
    <n v="16"/>
    <n v="86"/>
    <n v="0.99743000000000004"/>
    <n v="3.53"/>
    <n v="0.56999999999999995"/>
    <n v="9.6999999999999993"/>
    <n v="5"/>
    <x v="0"/>
  </r>
  <r>
    <n v="7.2"/>
    <n v="0.63"/>
    <n v="0.03"/>
    <n v="2.2000000000000002"/>
    <n v="0.08"/>
    <n v="17"/>
    <n v="88"/>
    <n v="0.99744999999999995"/>
    <n v="3.53"/>
    <n v="0.57999999999999996"/>
    <n v="9.8000000000000007"/>
    <n v="6"/>
    <x v="0"/>
  </r>
  <r>
    <n v="7.1"/>
    <n v="0.59"/>
    <n v="0.01"/>
    <n v="2.2999999999999998"/>
    <n v="0.08"/>
    <n v="27"/>
    <n v="43"/>
    <n v="0.99550000000000005"/>
    <n v="3.42"/>
    <n v="0.57999999999999996"/>
    <n v="10.7"/>
    <n v="6"/>
    <x v="0"/>
  </r>
  <r>
    <n v="8.3000000000000007"/>
    <n v="0.31"/>
    <n v="0.39"/>
    <n v="2.4"/>
    <n v="7.8E-2"/>
    <n v="17"/>
    <n v="43"/>
    <n v="0.99443999999999999"/>
    <n v="3.31"/>
    <n v="0.77"/>
    <n v="12.5"/>
    <n v="7"/>
    <x v="1"/>
  </r>
  <r>
    <n v="7.1"/>
    <n v="0.59"/>
    <n v="0.01"/>
    <n v="2.2999999999999998"/>
    <n v="0.08"/>
    <n v="27"/>
    <n v="43"/>
    <n v="0.99550000000000005"/>
    <n v="3.42"/>
    <n v="0.57999999999999996"/>
    <n v="10.7"/>
    <n v="6"/>
    <x v="0"/>
  </r>
  <r>
    <n v="8.3000000000000007"/>
    <n v="0.31"/>
    <n v="0.39"/>
    <n v="2.4"/>
    <n v="7.8E-2"/>
    <n v="17"/>
    <n v="43"/>
    <n v="0.99443999999999999"/>
    <n v="3.31"/>
    <n v="0.77"/>
    <n v="12.5"/>
    <n v="7"/>
    <x v="1"/>
  </r>
  <r>
    <n v="8.3000000000000007"/>
    <n v="1.02"/>
    <n v="0.02"/>
    <n v="3.4"/>
    <n v="8.4000000000000005E-2"/>
    <n v="6"/>
    <n v="11"/>
    <n v="0.99892000000000003"/>
    <n v="3.48"/>
    <n v="0.49"/>
    <n v="11"/>
    <n v="3"/>
    <x v="2"/>
  </r>
  <r>
    <n v="8.9"/>
    <n v="0.31"/>
    <n v="0.36"/>
    <n v="2.6"/>
    <n v="5.6000000000000001E-2"/>
    <n v="10"/>
    <n v="39"/>
    <n v="0.99561999999999995"/>
    <n v="3.4"/>
    <n v="0.69"/>
    <n v="11.8"/>
    <n v="5"/>
    <x v="0"/>
  </r>
  <r>
    <n v="7.4"/>
    <n v="0.63500000000000001"/>
    <n v="0.1"/>
    <n v="2.4"/>
    <n v="0.08"/>
    <n v="16"/>
    <n v="33"/>
    <n v="0.99736000000000002"/>
    <n v="3.58"/>
    <n v="0.69"/>
    <n v="10.8"/>
    <n v="7"/>
    <x v="1"/>
  </r>
  <r>
    <n v="7.4"/>
    <n v="0.63500000000000001"/>
    <n v="0.1"/>
    <n v="2.4"/>
    <n v="0.08"/>
    <n v="16"/>
    <n v="33"/>
    <n v="0.99736000000000002"/>
    <n v="3.58"/>
    <n v="0.69"/>
    <n v="10.8"/>
    <n v="7"/>
    <x v="1"/>
  </r>
  <r>
    <n v="6.8"/>
    <n v="0.59"/>
    <n v="0.06"/>
    <n v="6"/>
    <n v="0.06"/>
    <n v="11"/>
    <n v="18"/>
    <n v="0.99619999999999997"/>
    <n v="3.41"/>
    <n v="0.59"/>
    <n v="10.8"/>
    <n v="7"/>
    <x v="1"/>
  </r>
  <r>
    <n v="6.8"/>
    <n v="0.59"/>
    <n v="0.06"/>
    <n v="6"/>
    <n v="0.06"/>
    <n v="11"/>
    <n v="18"/>
    <n v="0.99619999999999997"/>
    <n v="3.41"/>
    <n v="0.59"/>
    <n v="10.8"/>
    <n v="7"/>
    <x v="1"/>
  </r>
  <r>
    <n v="9.1999999999999993"/>
    <n v="0.57999999999999996"/>
    <n v="0.2"/>
    <n v="3"/>
    <n v="8.1000000000000003E-2"/>
    <n v="15"/>
    <n v="115"/>
    <n v="0.998"/>
    <n v="3.23"/>
    <n v="0.59"/>
    <n v="9.5"/>
    <n v="5"/>
    <x v="0"/>
  </r>
  <r>
    <n v="7.2"/>
    <n v="0.54"/>
    <n v="0.27"/>
    <n v="2.6"/>
    <n v="8.4000000000000005E-2"/>
    <n v="12"/>
    <n v="78"/>
    <n v="0.99639999999999995"/>
    <n v="3.39"/>
    <n v="0.71"/>
    <n v="11"/>
    <n v="5"/>
    <x v="0"/>
  </r>
  <r>
    <n v="6.1"/>
    <n v="0.56000000000000005"/>
    <n v="0"/>
    <n v="2.2000000000000002"/>
    <n v="7.9000000000000001E-2"/>
    <n v="6"/>
    <n v="9"/>
    <n v="0.99480000000000002"/>
    <n v="3.59"/>
    <n v="0.54"/>
    <n v="11.5"/>
    <n v="6"/>
    <x v="0"/>
  </r>
  <r>
    <n v="7.4"/>
    <n v="0.52"/>
    <n v="0.13"/>
    <n v="2.4"/>
    <n v="7.8E-2"/>
    <n v="34"/>
    <n v="61"/>
    <n v="0.99528000000000005"/>
    <n v="3.43"/>
    <n v="0.59"/>
    <n v="10.8"/>
    <n v="6"/>
    <x v="0"/>
  </r>
  <r>
    <n v="7.3"/>
    <n v="0.30499999999999999"/>
    <n v="0.39"/>
    <n v="1.2"/>
    <n v="5.8999999999999997E-2"/>
    <n v="7"/>
    <n v="11"/>
    <n v="0.99331000000000003"/>
    <n v="3.29"/>
    <n v="0.52"/>
    <n v="11.5"/>
    <n v="6"/>
    <x v="0"/>
  </r>
  <r>
    <n v="9.3000000000000007"/>
    <n v="0.38"/>
    <n v="0.48"/>
    <n v="3.8"/>
    <n v="0.13200000000000001"/>
    <n v="3"/>
    <n v="11"/>
    <n v="0.99577000000000004"/>
    <n v="3.23"/>
    <n v="0.56999999999999995"/>
    <n v="13.2"/>
    <n v="6"/>
    <x v="0"/>
  </r>
  <r>
    <n v="9.1"/>
    <n v="0.28000000000000003"/>
    <n v="0.46"/>
    <n v="9"/>
    <n v="0.114"/>
    <n v="3"/>
    <n v="9"/>
    <n v="0.99900999999999995"/>
    <n v="3.18"/>
    <n v="0.6"/>
    <n v="10.9"/>
    <n v="6"/>
    <x v="0"/>
  </r>
  <r>
    <n v="10"/>
    <n v="0.46"/>
    <n v="0.44"/>
    <n v="2.9"/>
    <n v="6.5000000000000002E-2"/>
    <n v="4"/>
    <n v="8"/>
    <n v="0.99673999999999996"/>
    <n v="3.33"/>
    <n v="0.62"/>
    <n v="12.2"/>
    <n v="6"/>
    <x v="0"/>
  </r>
  <r>
    <n v="9.4"/>
    <n v="0.39500000000000002"/>
    <n v="0.46"/>
    <n v="4.5999999999999996"/>
    <n v="9.4E-2"/>
    <n v="3"/>
    <n v="10"/>
    <n v="0.99639"/>
    <n v="3.27"/>
    <n v="0.64"/>
    <n v="12.2"/>
    <n v="7"/>
    <x v="1"/>
  </r>
  <r>
    <n v="7.3"/>
    <n v="0.30499999999999999"/>
    <n v="0.39"/>
    <n v="1.2"/>
    <n v="5.8999999999999997E-2"/>
    <n v="7"/>
    <n v="11"/>
    <n v="0.99331000000000003"/>
    <n v="3.29"/>
    <n v="0.52"/>
    <n v="11.5"/>
    <n v="6"/>
    <x v="0"/>
  </r>
  <r>
    <n v="8.6"/>
    <n v="0.315"/>
    <n v="0.4"/>
    <n v="2.2000000000000002"/>
    <n v="7.9000000000000001E-2"/>
    <n v="3"/>
    <n v="6"/>
    <n v="0.99512"/>
    <n v="3.27"/>
    <n v="0.67"/>
    <n v="11.9"/>
    <n v="6"/>
    <x v="0"/>
  </r>
  <r>
    <n v="5.3"/>
    <n v="0.71499999999999997"/>
    <n v="0.19"/>
    <n v="1.5"/>
    <n v="0.161"/>
    <n v="7"/>
    <n v="62"/>
    <n v="0.99395"/>
    <n v="3.62"/>
    <n v="0.61"/>
    <n v="11"/>
    <n v="5"/>
    <x v="0"/>
  </r>
  <r>
    <n v="6.8"/>
    <n v="0.41"/>
    <n v="0.31"/>
    <n v="8.8000000000000007"/>
    <n v="8.4000000000000005E-2"/>
    <n v="26"/>
    <n v="45"/>
    <n v="0.99824000000000002"/>
    <n v="3.38"/>
    <n v="0.64"/>
    <n v="10.1"/>
    <n v="6"/>
    <x v="0"/>
  </r>
  <r>
    <n v="8.4"/>
    <n v="0.36"/>
    <n v="0.32"/>
    <n v="2.2000000000000002"/>
    <n v="8.1000000000000003E-2"/>
    <n v="32"/>
    <n v="79"/>
    <n v="0.99639999999999995"/>
    <n v="3.3"/>
    <n v="0.72"/>
    <n v="11"/>
    <n v="6"/>
    <x v="0"/>
  </r>
  <r>
    <n v="8.4"/>
    <n v="0.62"/>
    <n v="0.12"/>
    <n v="1.8"/>
    <n v="7.1999999999999995E-2"/>
    <n v="38"/>
    <n v="46"/>
    <n v="0.99504000000000004"/>
    <n v="3.38"/>
    <n v="0.89"/>
    <n v="11.8"/>
    <n v="6"/>
    <x v="0"/>
  </r>
  <r>
    <n v="9.6"/>
    <n v="0.41"/>
    <n v="0.37"/>
    <n v="2.2999999999999998"/>
    <n v="9.0999999999999998E-2"/>
    <n v="10"/>
    <n v="23"/>
    <n v="0.99785999999999997"/>
    <n v="3.24"/>
    <n v="0.56000000000000005"/>
    <n v="10.5"/>
    <n v="5"/>
    <x v="0"/>
  </r>
  <r>
    <n v="8.4"/>
    <n v="0.36"/>
    <n v="0.32"/>
    <n v="2.2000000000000002"/>
    <n v="8.1000000000000003E-2"/>
    <n v="32"/>
    <n v="79"/>
    <n v="0.99639999999999995"/>
    <n v="3.3"/>
    <n v="0.72"/>
    <n v="11"/>
    <n v="6"/>
    <x v="0"/>
  </r>
  <r>
    <n v="8.4"/>
    <n v="0.62"/>
    <n v="0.12"/>
    <n v="1.8"/>
    <n v="7.1999999999999995E-2"/>
    <n v="38"/>
    <n v="46"/>
    <n v="0.99504000000000004"/>
    <n v="3.38"/>
    <n v="0.89"/>
    <n v="11.8"/>
    <n v="6"/>
    <x v="0"/>
  </r>
  <r>
    <n v="6.8"/>
    <n v="0.41"/>
    <n v="0.31"/>
    <n v="8.8000000000000007"/>
    <n v="8.4000000000000005E-2"/>
    <n v="26"/>
    <n v="45"/>
    <n v="0.99824000000000002"/>
    <n v="3.38"/>
    <n v="0.64"/>
    <n v="10.1"/>
    <n v="6"/>
    <x v="0"/>
  </r>
  <r>
    <n v="8.6"/>
    <n v="0.47"/>
    <n v="0.27"/>
    <n v="2.2999999999999998"/>
    <n v="5.5E-2"/>
    <n v="14"/>
    <n v="28"/>
    <n v="0.99516000000000004"/>
    <n v="3.18"/>
    <n v="0.8"/>
    <n v="11.2"/>
    <n v="5"/>
    <x v="0"/>
  </r>
  <r>
    <n v="8.6"/>
    <n v="0.22"/>
    <n v="0.36"/>
    <n v="1.9"/>
    <n v="6.4000000000000001E-2"/>
    <n v="53"/>
    <n v="77"/>
    <n v="0.99604000000000004"/>
    <n v="3.47"/>
    <n v="0.87"/>
    <n v="11"/>
    <n v="7"/>
    <x v="1"/>
  </r>
  <r>
    <n v="9.4"/>
    <n v="0.24"/>
    <n v="0.33"/>
    <n v="2.2999999999999998"/>
    <n v="6.0999999999999999E-2"/>
    <n v="52"/>
    <n v="73"/>
    <n v="0.99785999999999997"/>
    <n v="3.47"/>
    <n v="0.9"/>
    <n v="10.199999999999999"/>
    <n v="6"/>
    <x v="0"/>
  </r>
  <r>
    <n v="8.4"/>
    <n v="0.67"/>
    <n v="0.19"/>
    <n v="2.2000000000000002"/>
    <n v="9.2999999999999999E-2"/>
    <n v="11"/>
    <n v="75"/>
    <n v="0.99736000000000002"/>
    <n v="3.2"/>
    <n v="0.59"/>
    <n v="9.1999999999999993"/>
    <n v="4"/>
    <x v="2"/>
  </r>
  <r>
    <n v="8.6"/>
    <n v="0.47"/>
    <n v="0.27"/>
    <n v="2.2999999999999998"/>
    <n v="5.5E-2"/>
    <n v="14"/>
    <n v="28"/>
    <n v="0.99516000000000004"/>
    <n v="3.18"/>
    <n v="0.8"/>
    <n v="11.2"/>
    <n v="5"/>
    <x v="0"/>
  </r>
  <r>
    <n v="8.6999999999999993"/>
    <n v="0.33"/>
    <n v="0.38"/>
    <n v="3.3"/>
    <n v="6.3E-2"/>
    <n v="10"/>
    <n v="19"/>
    <n v="0.99468000000000001"/>
    <n v="3.3"/>
    <n v="0.73"/>
    <n v="12"/>
    <n v="7"/>
    <x v="1"/>
  </r>
  <r>
    <n v="6.6"/>
    <n v="0.61"/>
    <n v="0.01"/>
    <n v="1.9"/>
    <n v="0.08"/>
    <n v="8"/>
    <n v="25"/>
    <n v="0.99746000000000001"/>
    <n v="3.69"/>
    <n v="0.73"/>
    <n v="10.5"/>
    <n v="5"/>
    <x v="0"/>
  </r>
  <r>
    <n v="7.4"/>
    <n v="0.61"/>
    <n v="0.01"/>
    <n v="2"/>
    <n v="7.3999999999999996E-2"/>
    <n v="13"/>
    <n v="38"/>
    <n v="0.99748000000000003"/>
    <n v="3.48"/>
    <n v="0.65"/>
    <n v="9.8000000000000007"/>
    <n v="5"/>
    <x v="0"/>
  </r>
  <r>
    <n v="7.6"/>
    <n v="0.4"/>
    <n v="0.28999999999999998"/>
    <n v="1.9"/>
    <n v="7.8E-2"/>
    <n v="29"/>
    <n v="66"/>
    <n v="0.99709999999999999"/>
    <n v="3.45"/>
    <n v="0.59"/>
    <n v="9.5"/>
    <n v="6"/>
    <x v="0"/>
  </r>
  <r>
    <n v="7.4"/>
    <n v="0.61"/>
    <n v="0.01"/>
    <n v="2"/>
    <n v="7.3999999999999996E-2"/>
    <n v="13"/>
    <n v="38"/>
    <n v="0.99748000000000003"/>
    <n v="3.48"/>
    <n v="0.65"/>
    <n v="9.8000000000000007"/>
    <n v="5"/>
    <x v="0"/>
  </r>
  <r>
    <n v="6.6"/>
    <n v="0.61"/>
    <n v="0.01"/>
    <n v="1.9"/>
    <n v="0.08"/>
    <n v="8"/>
    <n v="25"/>
    <n v="0.99746000000000001"/>
    <n v="3.69"/>
    <n v="0.73"/>
    <n v="10.5"/>
    <n v="5"/>
    <x v="0"/>
  </r>
  <r>
    <n v="8.8000000000000007"/>
    <n v="0.3"/>
    <n v="0.38"/>
    <n v="2.2999999999999998"/>
    <n v="0.06"/>
    <n v="19"/>
    <n v="72"/>
    <n v="0.99543000000000004"/>
    <n v="3.39"/>
    <n v="0.72"/>
    <n v="11.8"/>
    <n v="6"/>
    <x v="0"/>
  </r>
  <r>
    <n v="8.8000000000000007"/>
    <n v="0.3"/>
    <n v="0.38"/>
    <n v="2.2999999999999998"/>
    <n v="0.06"/>
    <n v="19"/>
    <n v="72"/>
    <n v="0.99543000000000004"/>
    <n v="3.39"/>
    <n v="0.72"/>
    <n v="11.8"/>
    <n v="6"/>
    <x v="0"/>
  </r>
  <r>
    <n v="12"/>
    <n v="0.63"/>
    <n v="0.5"/>
    <n v="1.4"/>
    <n v="7.0999999999999994E-2"/>
    <n v="6"/>
    <n v="26"/>
    <n v="0.99790999999999996"/>
    <n v="3.07"/>
    <n v="0.6"/>
    <n v="10.4"/>
    <n v="4"/>
    <x v="2"/>
  </r>
  <r>
    <n v="7.2"/>
    <n v="0.38"/>
    <n v="0.38"/>
    <n v="2.8"/>
    <n v="6.8000000000000005E-2"/>
    <n v="23"/>
    <n v="42"/>
    <n v="0.99356"/>
    <n v="3.34"/>
    <n v="0.72"/>
    <n v="12.9"/>
    <n v="7"/>
    <x v="1"/>
  </r>
  <r>
    <n v="6.2"/>
    <n v="0.46"/>
    <n v="0.17"/>
    <n v="1.6"/>
    <n v="7.2999999999999995E-2"/>
    <n v="7"/>
    <n v="11"/>
    <n v="0.99424999999999997"/>
    <n v="3.61"/>
    <n v="0.54"/>
    <n v="11.4"/>
    <n v="5"/>
    <x v="0"/>
  </r>
  <r>
    <n v="9.6"/>
    <n v="0.33"/>
    <n v="0.52"/>
    <n v="2.2000000000000002"/>
    <n v="7.3999999999999996E-2"/>
    <n v="13"/>
    <n v="25"/>
    <n v="0.99509000000000003"/>
    <n v="3.36"/>
    <n v="0.76"/>
    <n v="12.4"/>
    <n v="7"/>
    <x v="1"/>
  </r>
  <r>
    <n v="9.9"/>
    <n v="0.27"/>
    <n v="0.49"/>
    <n v="5"/>
    <n v="8.2000000000000003E-2"/>
    <n v="9"/>
    <n v="17"/>
    <n v="0.99483999999999995"/>
    <n v="3.19"/>
    <n v="0.52"/>
    <n v="12.5"/>
    <n v="7"/>
    <x v="1"/>
  </r>
  <r>
    <n v="10.1"/>
    <n v="0.43"/>
    <n v="0.4"/>
    <n v="2.6"/>
    <n v="9.1999999999999998E-2"/>
    <n v="13"/>
    <n v="52"/>
    <n v="0.99834000000000001"/>
    <n v="3.22"/>
    <n v="0.64"/>
    <n v="10"/>
    <n v="7"/>
    <x v="1"/>
  </r>
  <r>
    <n v="9.8000000000000007"/>
    <n v="0.5"/>
    <n v="0.34"/>
    <n v="2.2999999999999998"/>
    <n v="9.4E-2"/>
    <n v="10"/>
    <n v="45"/>
    <n v="0.99863999999999997"/>
    <n v="3.24"/>
    <n v="0.6"/>
    <n v="9.6999999999999993"/>
    <n v="7"/>
    <x v="1"/>
  </r>
  <r>
    <n v="8.3000000000000007"/>
    <n v="0.3"/>
    <n v="0.49"/>
    <n v="3.8"/>
    <n v="0.09"/>
    <n v="11"/>
    <n v="24"/>
    <n v="0.99497999999999998"/>
    <n v="3.27"/>
    <n v="0.64"/>
    <n v="12.1"/>
    <n v="7"/>
    <x v="1"/>
  </r>
  <r>
    <n v="10.199999999999999"/>
    <n v="0.44"/>
    <n v="0.42"/>
    <n v="2"/>
    <n v="7.0999999999999994E-2"/>
    <n v="7"/>
    <n v="20"/>
    <n v="0.99565999999999999"/>
    <n v="3.14"/>
    <n v="0.79"/>
    <n v="11.1"/>
    <n v="7"/>
    <x v="1"/>
  </r>
  <r>
    <n v="10.199999999999999"/>
    <n v="0.44"/>
    <n v="0.57999999999999996"/>
    <n v="4.0999999999999996"/>
    <n v="9.1999999999999998E-2"/>
    <n v="11"/>
    <n v="24"/>
    <n v="0.99744999999999995"/>
    <n v="3.29"/>
    <n v="0.99"/>
    <n v="12"/>
    <n v="7"/>
    <x v="1"/>
  </r>
  <r>
    <n v="8.3000000000000007"/>
    <n v="0.28000000000000003"/>
    <n v="0.48"/>
    <n v="2.1"/>
    <n v="9.2999999999999999E-2"/>
    <n v="6"/>
    <n v="12"/>
    <n v="0.99407999999999996"/>
    <n v="3.26"/>
    <n v="0.62"/>
    <n v="12.4"/>
    <n v="7"/>
    <x v="1"/>
  </r>
  <r>
    <n v="8.9"/>
    <n v="0.12"/>
    <n v="0.45"/>
    <n v="1.8"/>
    <n v="7.4999999999999997E-2"/>
    <n v="10"/>
    <n v="21"/>
    <n v="0.99551999999999996"/>
    <n v="3.41"/>
    <n v="0.76"/>
    <n v="11.9"/>
    <n v="7"/>
    <x v="1"/>
  </r>
  <r>
    <n v="8.9"/>
    <n v="0.12"/>
    <n v="0.45"/>
    <n v="1.8"/>
    <n v="7.4999999999999997E-2"/>
    <n v="10"/>
    <n v="21"/>
    <n v="0.99551999999999996"/>
    <n v="3.41"/>
    <n v="0.76"/>
    <n v="11.9"/>
    <n v="7"/>
    <x v="1"/>
  </r>
  <r>
    <n v="8.9"/>
    <n v="0.12"/>
    <n v="0.45"/>
    <n v="1.8"/>
    <n v="7.4999999999999997E-2"/>
    <n v="10"/>
    <n v="21"/>
    <n v="0.99551999999999996"/>
    <n v="3.41"/>
    <n v="0.76"/>
    <n v="11.9"/>
    <n v="7"/>
    <x v="1"/>
  </r>
  <r>
    <n v="8.3000000000000007"/>
    <n v="0.28000000000000003"/>
    <n v="0.48"/>
    <n v="2.1"/>
    <n v="9.2999999999999999E-2"/>
    <n v="6"/>
    <n v="12"/>
    <n v="0.99407999999999996"/>
    <n v="3.26"/>
    <n v="0.62"/>
    <n v="12.4"/>
    <n v="7"/>
    <x v="1"/>
  </r>
  <r>
    <n v="8.1999999999999993"/>
    <n v="0.31"/>
    <n v="0.4"/>
    <n v="2.2000000000000002"/>
    <n v="5.8000000000000003E-2"/>
    <n v="6"/>
    <n v="10"/>
    <n v="0.99536000000000002"/>
    <n v="3.31"/>
    <n v="0.68"/>
    <n v="11.2"/>
    <n v="7"/>
    <x v="1"/>
  </r>
  <r>
    <n v="10.199999999999999"/>
    <n v="0.34"/>
    <n v="0.48"/>
    <n v="2.1"/>
    <n v="5.1999999999999998E-2"/>
    <n v="5"/>
    <n v="9"/>
    <n v="0.99458000000000002"/>
    <n v="3.2"/>
    <n v="0.69"/>
    <n v="12.1"/>
    <n v="7"/>
    <x v="1"/>
  </r>
  <r>
    <n v="7.6"/>
    <n v="0.43"/>
    <n v="0.4"/>
    <n v="2.7"/>
    <n v="8.2000000000000003E-2"/>
    <n v="6"/>
    <n v="11"/>
    <n v="0.99538000000000004"/>
    <n v="3.44"/>
    <n v="0.54"/>
    <n v="12.2"/>
    <n v="6"/>
    <x v="0"/>
  </r>
  <r>
    <n v="8.5"/>
    <n v="0.21"/>
    <n v="0.52"/>
    <n v="1.9"/>
    <n v="0.09"/>
    <n v="9"/>
    <n v="23"/>
    <n v="0.99648000000000003"/>
    <n v="3.36"/>
    <n v="0.67"/>
    <n v="10.4"/>
    <n v="5"/>
    <x v="0"/>
  </r>
  <r>
    <n v="9"/>
    <n v="0.36"/>
    <n v="0.52"/>
    <n v="2.1"/>
    <n v="0.111"/>
    <n v="5"/>
    <n v="10"/>
    <n v="0.99568000000000001"/>
    <n v="3.31"/>
    <n v="0.62"/>
    <n v="11.3"/>
    <n v="6"/>
    <x v="0"/>
  </r>
  <r>
    <n v="9.5"/>
    <n v="0.37"/>
    <n v="0.52"/>
    <n v="2"/>
    <n v="8.7999999999999995E-2"/>
    <n v="12"/>
    <n v="51"/>
    <n v="0.99612999999999996"/>
    <n v="3.29"/>
    <n v="0.57999999999999996"/>
    <n v="11.1"/>
    <n v="6"/>
    <x v="0"/>
  </r>
  <r>
    <n v="6.4"/>
    <n v="0.56999999999999995"/>
    <n v="0.12"/>
    <n v="2.2999999999999998"/>
    <n v="0.12"/>
    <n v="25"/>
    <n v="36"/>
    <n v="0.99519000000000002"/>
    <n v="3.47"/>
    <n v="0.71"/>
    <n v="11.3"/>
    <n v="7"/>
    <x v="1"/>
  </r>
  <r>
    <n v="8"/>
    <n v="0.59"/>
    <n v="0.05"/>
    <n v="2"/>
    <n v="8.8999999999999996E-2"/>
    <n v="12"/>
    <n v="32"/>
    <n v="0.99734999999999996"/>
    <n v="3.36"/>
    <n v="0.61"/>
    <n v="10"/>
    <n v="5"/>
    <x v="0"/>
  </r>
  <r>
    <n v="8.5"/>
    <n v="0.47"/>
    <n v="0.27"/>
    <n v="1.9"/>
    <n v="5.8000000000000003E-2"/>
    <n v="18"/>
    <n v="38"/>
    <n v="0.99517999999999995"/>
    <n v="3.16"/>
    <n v="0.85"/>
    <n v="11.1"/>
    <n v="6"/>
    <x v="0"/>
  </r>
  <r>
    <n v="7.1"/>
    <n v="0.56000000000000005"/>
    <n v="0.14000000000000001"/>
    <n v="1.6"/>
    <n v="7.8E-2"/>
    <n v="7"/>
    <n v="18"/>
    <n v="0.99592000000000003"/>
    <n v="3.27"/>
    <n v="0.62"/>
    <n v="9.3000000000000007"/>
    <n v="5"/>
    <x v="0"/>
  </r>
  <r>
    <n v="6.6"/>
    <n v="0.56999999999999995"/>
    <n v="0.02"/>
    <n v="2.1"/>
    <n v="0.115"/>
    <n v="6"/>
    <n v="16"/>
    <n v="0.99653999999999998"/>
    <n v="3.38"/>
    <n v="0.69"/>
    <n v="9.5"/>
    <n v="5"/>
    <x v="0"/>
  </r>
  <r>
    <n v="8.8000000000000007"/>
    <n v="0.27"/>
    <n v="0.39"/>
    <n v="2"/>
    <n v="0.1"/>
    <n v="20"/>
    <n v="27"/>
    <n v="0.99546000000000001"/>
    <n v="3.15"/>
    <n v="0.69"/>
    <n v="11.2"/>
    <n v="6"/>
    <x v="0"/>
  </r>
  <r>
    <n v="8.5"/>
    <n v="0.47"/>
    <n v="0.27"/>
    <n v="1.9"/>
    <n v="5.8000000000000003E-2"/>
    <n v="18"/>
    <n v="38"/>
    <n v="0.99517999999999995"/>
    <n v="3.16"/>
    <n v="0.85"/>
    <n v="11.1"/>
    <n v="6"/>
    <x v="0"/>
  </r>
  <r>
    <n v="8.3000000000000007"/>
    <n v="0.34"/>
    <n v="0.4"/>
    <n v="2.4"/>
    <n v="6.5000000000000002E-2"/>
    <n v="24"/>
    <n v="48"/>
    <n v="0.99553999999999998"/>
    <n v="3.34"/>
    <n v="0.86"/>
    <n v="11"/>
    <n v="6"/>
    <x v="0"/>
  </r>
  <r>
    <n v="9"/>
    <n v="0.38"/>
    <n v="0.41"/>
    <n v="2.4"/>
    <n v="0.10299999999999999"/>
    <n v="6"/>
    <n v="10"/>
    <n v="0.99604000000000004"/>
    <n v="3.13"/>
    <n v="0.57999999999999996"/>
    <n v="11.9"/>
    <n v="7"/>
    <x v="1"/>
  </r>
  <r>
    <n v="8.5"/>
    <n v="0.66"/>
    <n v="0.2"/>
    <n v="2.1"/>
    <n v="9.7000000000000003E-2"/>
    <n v="23"/>
    <n v="113"/>
    <n v="0.99733000000000005"/>
    <n v="3.13"/>
    <n v="0.48"/>
    <n v="9.1999999999999993"/>
    <n v="5"/>
    <x v="0"/>
  </r>
  <r>
    <n v="9"/>
    <n v="0.4"/>
    <n v="0.43"/>
    <n v="2.4"/>
    <n v="6.8000000000000005E-2"/>
    <n v="29"/>
    <n v="46"/>
    <n v="0.99429999999999996"/>
    <n v="3.2"/>
    <n v="0.6"/>
    <n v="12.2"/>
    <n v="6"/>
    <x v="0"/>
  </r>
  <r>
    <n v="6.7"/>
    <n v="0.56000000000000005"/>
    <n v="0.09"/>
    <n v="2.9"/>
    <n v="7.9000000000000001E-2"/>
    <n v="7"/>
    <n v="22"/>
    <n v="0.99668999999999996"/>
    <n v="3.46"/>
    <n v="0.61"/>
    <n v="10.199999999999999"/>
    <n v="5"/>
    <x v="0"/>
  </r>
  <r>
    <n v="10.4"/>
    <n v="0.26"/>
    <n v="0.48"/>
    <n v="1.9"/>
    <n v="6.6000000000000003E-2"/>
    <n v="6"/>
    <n v="10"/>
    <n v="0.99724000000000002"/>
    <n v="3.33"/>
    <n v="0.87"/>
    <n v="10.9"/>
    <n v="6"/>
    <x v="0"/>
  </r>
  <r>
    <n v="10.4"/>
    <n v="0.26"/>
    <n v="0.48"/>
    <n v="1.9"/>
    <n v="6.6000000000000003E-2"/>
    <n v="6"/>
    <n v="10"/>
    <n v="0.99724000000000002"/>
    <n v="3.33"/>
    <n v="0.87"/>
    <n v="10.9"/>
    <n v="6"/>
    <x v="0"/>
  </r>
  <r>
    <n v="10.1"/>
    <n v="0.38"/>
    <n v="0.5"/>
    <n v="2.4"/>
    <n v="0.104"/>
    <n v="6"/>
    <n v="13"/>
    <n v="0.99643000000000004"/>
    <n v="3.22"/>
    <n v="0.65"/>
    <n v="11.6"/>
    <n v="7"/>
    <x v="1"/>
  </r>
  <r>
    <n v="8.5"/>
    <n v="0.34"/>
    <n v="0.44"/>
    <n v="1.7"/>
    <n v="7.9000000000000001E-2"/>
    <n v="6"/>
    <n v="12"/>
    <n v="0.99604999999999999"/>
    <n v="3.52"/>
    <n v="0.63"/>
    <n v="10.7"/>
    <n v="5"/>
    <x v="0"/>
  </r>
  <r>
    <n v="8.8000000000000007"/>
    <n v="0.33"/>
    <n v="0.41"/>
    <n v="5.9"/>
    <n v="7.2999999999999995E-2"/>
    <n v="7"/>
    <n v="13"/>
    <n v="0.99658000000000002"/>
    <n v="3.3"/>
    <n v="0.62"/>
    <n v="12.1"/>
    <n v="7"/>
    <x v="1"/>
  </r>
  <r>
    <n v="7.2"/>
    <n v="0.41"/>
    <n v="0.3"/>
    <n v="2.1"/>
    <n v="8.3000000000000004E-2"/>
    <n v="35"/>
    <n v="72"/>
    <n v="0.997"/>
    <n v="3.44"/>
    <n v="0.52"/>
    <n v="9.4"/>
    <n v="5"/>
    <x v="0"/>
  </r>
  <r>
    <n v="7.2"/>
    <n v="0.41"/>
    <n v="0.3"/>
    <n v="2.1"/>
    <n v="8.3000000000000004E-2"/>
    <n v="35"/>
    <n v="72"/>
    <n v="0.997"/>
    <n v="3.44"/>
    <n v="0.52"/>
    <n v="9.4"/>
    <n v="5"/>
    <x v="0"/>
  </r>
  <r>
    <n v="8.4"/>
    <n v="0.59"/>
    <n v="0.28999999999999998"/>
    <n v="2.6"/>
    <n v="0.109"/>
    <n v="31"/>
    <n v="119"/>
    <n v="0.99800999999999995"/>
    <n v="3.15"/>
    <n v="0.5"/>
    <n v="9.1"/>
    <n v="5"/>
    <x v="0"/>
  </r>
  <r>
    <n v="7"/>
    <n v="0.4"/>
    <n v="0.32"/>
    <n v="3.6"/>
    <n v="6.0999999999999999E-2"/>
    <n v="9"/>
    <n v="29"/>
    <n v="0.99416000000000004"/>
    <n v="3.28"/>
    <n v="0.49"/>
    <n v="11.3"/>
    <n v="7"/>
    <x v="1"/>
  </r>
  <r>
    <n v="12.2"/>
    <n v="0.45"/>
    <n v="0.49"/>
    <n v="1.4"/>
    <n v="7.4999999999999997E-2"/>
    <n v="3"/>
    <n v="6"/>
    <n v="0.99690000000000001"/>
    <n v="3.13"/>
    <n v="0.63"/>
    <n v="10.4"/>
    <n v="5"/>
    <x v="0"/>
  </r>
  <r>
    <n v="9.1"/>
    <n v="0.5"/>
    <n v="0.3"/>
    <n v="1.9"/>
    <n v="6.5000000000000002E-2"/>
    <n v="8"/>
    <n v="17"/>
    <n v="0.99773999999999996"/>
    <n v="3.32"/>
    <n v="0.71"/>
    <n v="10.5"/>
    <n v="6"/>
    <x v="0"/>
  </r>
  <r>
    <n v="9.5"/>
    <n v="0.86"/>
    <n v="0.26"/>
    <n v="1.9"/>
    <n v="7.9000000000000001E-2"/>
    <n v="13"/>
    <n v="28"/>
    <n v="0.99712000000000001"/>
    <n v="3.25"/>
    <n v="0.62"/>
    <n v="10"/>
    <n v="5"/>
    <x v="0"/>
  </r>
  <r>
    <n v="7.3"/>
    <n v="0.52"/>
    <n v="0.32"/>
    <n v="2.1"/>
    <n v="7.0000000000000007E-2"/>
    <n v="51"/>
    <n v="70"/>
    <n v="0.99417999999999995"/>
    <n v="3.34"/>
    <n v="0.82"/>
    <n v="12.9"/>
    <n v="6"/>
    <x v="0"/>
  </r>
  <r>
    <n v="9.1"/>
    <n v="0.5"/>
    <n v="0.3"/>
    <n v="1.9"/>
    <n v="6.5000000000000002E-2"/>
    <n v="8"/>
    <n v="17"/>
    <n v="0.99773999999999996"/>
    <n v="3.32"/>
    <n v="0.71"/>
    <n v="10.5"/>
    <n v="6"/>
    <x v="0"/>
  </r>
  <r>
    <n v="12.2"/>
    <n v="0.45"/>
    <n v="0.49"/>
    <n v="1.4"/>
    <n v="7.4999999999999997E-2"/>
    <n v="3"/>
    <n v="6"/>
    <n v="0.99690000000000001"/>
    <n v="3.13"/>
    <n v="0.63"/>
    <n v="10.4"/>
    <n v="5"/>
    <x v="0"/>
  </r>
  <r>
    <n v="7.4"/>
    <n v="0.57999999999999996"/>
    <n v="0"/>
    <n v="2"/>
    <n v="6.4000000000000001E-2"/>
    <n v="7"/>
    <n v="11"/>
    <n v="0.99561999999999995"/>
    <n v="3.45"/>
    <n v="0.57999999999999996"/>
    <n v="11.3"/>
    <n v="6"/>
    <x v="0"/>
  </r>
  <r>
    <n v="9.8000000000000007"/>
    <n v="0.34"/>
    <n v="0.39"/>
    <n v="1.4"/>
    <n v="6.6000000000000003E-2"/>
    <n v="3"/>
    <n v="7"/>
    <n v="0.99470000000000003"/>
    <n v="3.19"/>
    <n v="0.55000000000000004"/>
    <n v="11.4"/>
    <n v="7"/>
    <x v="1"/>
  </r>
  <r>
    <n v="7.1"/>
    <n v="0.36"/>
    <n v="0.3"/>
    <n v="1.6"/>
    <n v="0.08"/>
    <n v="35"/>
    <n v="70"/>
    <n v="0.99692999999999998"/>
    <n v="3.44"/>
    <n v="0.5"/>
    <n v="9.4"/>
    <n v="5"/>
    <x v="0"/>
  </r>
  <r>
    <n v="7.7"/>
    <n v="0.39"/>
    <n v="0.12"/>
    <n v="1.7"/>
    <n v="9.7000000000000003E-2"/>
    <n v="19"/>
    <n v="27"/>
    <n v="0.99595999999999996"/>
    <n v="3.16"/>
    <n v="0.49"/>
    <n v="9.4"/>
    <n v="5"/>
    <x v="0"/>
  </r>
  <r>
    <n v="9.6999999999999993"/>
    <n v="0.29499999999999998"/>
    <n v="0.4"/>
    <n v="1.5"/>
    <n v="7.2999999999999995E-2"/>
    <n v="14"/>
    <n v="21"/>
    <n v="0.99556"/>
    <n v="3.14"/>
    <n v="0.51"/>
    <n v="10.9"/>
    <n v="6"/>
    <x v="0"/>
  </r>
  <r>
    <n v="7.7"/>
    <n v="0.39"/>
    <n v="0.12"/>
    <n v="1.7"/>
    <n v="9.7000000000000003E-2"/>
    <n v="19"/>
    <n v="27"/>
    <n v="0.99595999999999996"/>
    <n v="3.16"/>
    <n v="0.49"/>
    <n v="9.4"/>
    <n v="5"/>
    <x v="0"/>
  </r>
  <r>
    <n v="7.1"/>
    <n v="0.34"/>
    <n v="0.28000000000000003"/>
    <n v="2"/>
    <n v="8.2000000000000003E-2"/>
    <n v="31"/>
    <n v="68"/>
    <n v="0.99694000000000005"/>
    <n v="3.45"/>
    <n v="0.48"/>
    <n v="9.4"/>
    <n v="5"/>
    <x v="0"/>
  </r>
  <r>
    <n v="6.5"/>
    <n v="0.4"/>
    <n v="0.1"/>
    <n v="2"/>
    <n v="7.5999999999999998E-2"/>
    <n v="30"/>
    <n v="47"/>
    <n v="0.99553999999999998"/>
    <n v="3.36"/>
    <n v="0.48"/>
    <n v="9.4"/>
    <n v="6"/>
    <x v="0"/>
  </r>
  <r>
    <n v="7.1"/>
    <n v="0.34"/>
    <n v="0.28000000000000003"/>
    <n v="2"/>
    <n v="8.2000000000000003E-2"/>
    <n v="31"/>
    <n v="68"/>
    <n v="0.99694000000000005"/>
    <n v="3.45"/>
    <n v="0.48"/>
    <n v="9.4"/>
    <n v="5"/>
    <x v="0"/>
  </r>
  <r>
    <n v="10"/>
    <n v="0.35"/>
    <n v="0.45"/>
    <n v="2.5"/>
    <n v="9.1999999999999998E-2"/>
    <n v="20"/>
    <n v="88"/>
    <n v="0.99917999999999996"/>
    <n v="3.15"/>
    <n v="0.43"/>
    <n v="9.4"/>
    <n v="5"/>
    <x v="0"/>
  </r>
  <r>
    <n v="7.7"/>
    <n v="0.6"/>
    <n v="0.06"/>
    <n v="2"/>
    <n v="7.9000000000000001E-2"/>
    <n v="19"/>
    <n v="41"/>
    <n v="0.99697000000000002"/>
    <n v="3.39"/>
    <n v="0.62"/>
    <n v="10.1"/>
    <n v="6"/>
    <x v="0"/>
  </r>
  <r>
    <n v="5.6"/>
    <n v="0.66"/>
    <n v="0"/>
    <n v="2.2000000000000002"/>
    <n v="8.6999999999999994E-2"/>
    <n v="3"/>
    <n v="11"/>
    <n v="0.99378"/>
    <n v="3.71"/>
    <n v="0.63"/>
    <n v="12.8"/>
    <n v="7"/>
    <x v="1"/>
  </r>
  <r>
    <n v="5.6"/>
    <n v="0.66"/>
    <n v="0"/>
    <n v="2.2000000000000002"/>
    <n v="8.6999999999999994E-2"/>
    <n v="3"/>
    <n v="11"/>
    <n v="0.99378"/>
    <n v="3.71"/>
    <n v="0.63"/>
    <n v="12.8"/>
    <n v="7"/>
    <x v="1"/>
  </r>
  <r>
    <n v="8.9"/>
    <n v="0.84"/>
    <n v="0.34"/>
    <n v="1.4"/>
    <n v="0.05"/>
    <n v="4"/>
    <n v="10"/>
    <n v="0.99553999999999998"/>
    <n v="3.12"/>
    <n v="0.48"/>
    <n v="9.1"/>
    <n v="6"/>
    <x v="0"/>
  </r>
  <r>
    <n v="6.4"/>
    <n v="0.69"/>
    <n v="0"/>
    <n v="1.65"/>
    <n v="5.5E-2"/>
    <n v="7"/>
    <n v="12"/>
    <n v="0.99161999999999995"/>
    <n v="3.47"/>
    <n v="0.53"/>
    <n v="12.9"/>
    <n v="6"/>
    <x v="0"/>
  </r>
  <r>
    <n v="7.5"/>
    <n v="0.43"/>
    <n v="0.3"/>
    <n v="2.2000000000000002"/>
    <n v="6.2E-2"/>
    <n v="6"/>
    <n v="12"/>
    <n v="0.99495"/>
    <n v="3.44"/>
    <n v="0.72"/>
    <n v="11.5"/>
    <n v="7"/>
    <x v="1"/>
  </r>
  <r>
    <n v="9.9"/>
    <n v="0.35"/>
    <n v="0.38"/>
    <n v="1.5"/>
    <n v="5.8000000000000003E-2"/>
    <n v="31"/>
    <n v="47"/>
    <n v="0.99675999999999998"/>
    <n v="3.26"/>
    <n v="0.82"/>
    <n v="10.6"/>
    <n v="7"/>
    <x v="1"/>
  </r>
  <r>
    <n v="9.1"/>
    <n v="0.28999999999999998"/>
    <n v="0.33"/>
    <n v="2.0499999999999998"/>
    <n v="6.3E-2"/>
    <n v="13"/>
    <n v="27"/>
    <n v="0.99516000000000004"/>
    <n v="3.26"/>
    <n v="0.84"/>
    <n v="11.7"/>
    <n v="7"/>
    <x v="1"/>
  </r>
  <r>
    <n v="6.8"/>
    <n v="0.36"/>
    <n v="0.32"/>
    <n v="1.8"/>
    <n v="6.7000000000000004E-2"/>
    <n v="4"/>
    <n v="8"/>
    <n v="0.99280000000000002"/>
    <n v="3.36"/>
    <n v="0.55000000000000004"/>
    <n v="12.8"/>
    <n v="7"/>
    <x v="1"/>
  </r>
  <r>
    <n v="8.1999999999999993"/>
    <n v="0.43"/>
    <n v="0.28999999999999998"/>
    <n v="1.6"/>
    <n v="8.1000000000000003E-2"/>
    <n v="27"/>
    <n v="45"/>
    <n v="0.99602999999999997"/>
    <n v="3.25"/>
    <n v="0.54"/>
    <n v="10.3"/>
    <n v="5"/>
    <x v="0"/>
  </r>
  <r>
    <n v="6.8"/>
    <n v="0.36"/>
    <n v="0.32"/>
    <n v="1.8"/>
    <n v="6.7000000000000004E-2"/>
    <n v="4"/>
    <n v="8"/>
    <n v="0.99280000000000002"/>
    <n v="3.36"/>
    <n v="0.55000000000000004"/>
    <n v="12.8"/>
    <n v="7"/>
    <x v="1"/>
  </r>
  <r>
    <n v="9.1"/>
    <n v="0.28999999999999998"/>
    <n v="0.33"/>
    <n v="2.0499999999999998"/>
    <n v="6.3E-2"/>
    <n v="13"/>
    <n v="27"/>
    <n v="0.99516000000000004"/>
    <n v="3.26"/>
    <n v="0.84"/>
    <n v="11.7"/>
    <n v="7"/>
    <x v="1"/>
  </r>
  <r>
    <n v="9.1"/>
    <n v="0.3"/>
    <n v="0.34"/>
    <n v="2"/>
    <n v="6.4000000000000001E-2"/>
    <n v="12"/>
    <n v="25"/>
    <n v="0.99516000000000004"/>
    <n v="3.26"/>
    <n v="0.84"/>
    <n v="11.7"/>
    <n v="7"/>
    <x v="1"/>
  </r>
  <r>
    <n v="8.9"/>
    <n v="0.35"/>
    <n v="0.4"/>
    <n v="3.6"/>
    <n v="0.11"/>
    <n v="12"/>
    <n v="24"/>
    <n v="0.99548999999999999"/>
    <n v="3.23"/>
    <n v="0.7"/>
    <n v="12"/>
    <n v="7"/>
    <x v="1"/>
  </r>
  <r>
    <n v="9.6"/>
    <n v="0.5"/>
    <n v="0.36"/>
    <n v="2.8"/>
    <n v="0.11600000000000001"/>
    <n v="26"/>
    <n v="55"/>
    <n v="0.99722"/>
    <n v="3.18"/>
    <n v="0.68"/>
    <n v="10.9"/>
    <n v="5"/>
    <x v="0"/>
  </r>
  <r>
    <n v="8.9"/>
    <n v="0.28000000000000003"/>
    <n v="0.45"/>
    <n v="1.7"/>
    <n v="6.7000000000000004E-2"/>
    <n v="7"/>
    <n v="12"/>
    <n v="0.99353999999999998"/>
    <n v="3.25"/>
    <n v="0.55000000000000004"/>
    <n v="12.3"/>
    <n v="7"/>
    <x v="1"/>
  </r>
  <r>
    <n v="8.9"/>
    <n v="0.32"/>
    <n v="0.31"/>
    <n v="2"/>
    <n v="8.7999999999999995E-2"/>
    <n v="12"/>
    <n v="19"/>
    <n v="0.99570000000000003"/>
    <n v="3.17"/>
    <n v="0.55000000000000004"/>
    <n v="10.4"/>
    <n v="6"/>
    <x v="0"/>
  </r>
  <r>
    <n v="7.7"/>
    <n v="1.0049999999999999"/>
    <n v="0.15"/>
    <n v="2.1"/>
    <n v="0.10199999999999999"/>
    <n v="11"/>
    <n v="32"/>
    <n v="0.99604000000000004"/>
    <n v="3.23"/>
    <n v="0.48"/>
    <n v="10"/>
    <n v="5"/>
    <x v="0"/>
  </r>
  <r>
    <n v="7.5"/>
    <n v="0.71"/>
    <n v="0"/>
    <n v="1.6"/>
    <n v="9.1999999999999998E-2"/>
    <n v="22"/>
    <n v="31"/>
    <n v="0.99634999999999996"/>
    <n v="3.38"/>
    <n v="0.57999999999999996"/>
    <n v="10"/>
    <n v="6"/>
    <x v="0"/>
  </r>
  <r>
    <n v="8"/>
    <n v="0.57999999999999996"/>
    <n v="0.16"/>
    <n v="2"/>
    <n v="0.12"/>
    <n v="3"/>
    <n v="7"/>
    <n v="0.99453999999999998"/>
    <n v="3.22"/>
    <n v="0.57999999999999996"/>
    <n v="11.2"/>
    <n v="6"/>
    <x v="0"/>
  </r>
  <r>
    <n v="10.5"/>
    <n v="0.39"/>
    <n v="0.46"/>
    <n v="2.2000000000000002"/>
    <n v="7.4999999999999997E-2"/>
    <n v="14"/>
    <n v="27"/>
    <n v="0.99597999999999998"/>
    <n v="3.06"/>
    <n v="0.84"/>
    <n v="11.4"/>
    <n v="6"/>
    <x v="0"/>
  </r>
  <r>
    <n v="8.9"/>
    <n v="0.38"/>
    <n v="0.4"/>
    <n v="2.2000000000000002"/>
    <n v="6.8000000000000005E-2"/>
    <n v="12"/>
    <n v="28"/>
    <n v="0.99485999999999997"/>
    <n v="3.27"/>
    <n v="0.75"/>
    <n v="12.6"/>
    <n v="7"/>
    <x v="1"/>
  </r>
  <r>
    <n v="8"/>
    <n v="0.18"/>
    <n v="0.37"/>
    <n v="0.9"/>
    <n v="4.9000000000000002E-2"/>
    <n v="36"/>
    <n v="109"/>
    <n v="0.99007000000000001"/>
    <n v="2.89"/>
    <n v="0.44"/>
    <n v="12.7"/>
    <n v="6"/>
    <x v="0"/>
  </r>
  <r>
    <n v="8"/>
    <n v="0.18"/>
    <n v="0.37"/>
    <n v="0.9"/>
    <n v="4.9000000000000002E-2"/>
    <n v="36"/>
    <n v="109"/>
    <n v="0.99007000000000001"/>
    <n v="2.89"/>
    <n v="0.44"/>
    <n v="12.7"/>
    <n v="6"/>
    <x v="0"/>
  </r>
  <r>
    <n v="7"/>
    <n v="0.5"/>
    <n v="0.14000000000000001"/>
    <n v="1.8"/>
    <n v="7.8E-2"/>
    <n v="10"/>
    <n v="23"/>
    <n v="0.99636000000000002"/>
    <n v="3.53"/>
    <n v="0.61"/>
    <n v="10.4"/>
    <n v="5"/>
    <x v="0"/>
  </r>
  <r>
    <n v="11.3"/>
    <n v="0.36"/>
    <n v="0.66"/>
    <n v="2.4"/>
    <n v="0.123"/>
    <n v="3"/>
    <n v="8"/>
    <n v="0.99641999999999997"/>
    <n v="3.2"/>
    <n v="0.53"/>
    <n v="11.9"/>
    <n v="6"/>
    <x v="0"/>
  </r>
  <r>
    <n v="11.3"/>
    <n v="0.36"/>
    <n v="0.66"/>
    <n v="2.4"/>
    <n v="0.123"/>
    <n v="3"/>
    <n v="8"/>
    <n v="0.99641999999999997"/>
    <n v="3.2"/>
    <n v="0.53"/>
    <n v="11.9"/>
    <n v="6"/>
    <x v="0"/>
  </r>
  <r>
    <n v="7"/>
    <n v="0.51"/>
    <n v="0.09"/>
    <n v="2.1"/>
    <n v="6.2E-2"/>
    <n v="4"/>
    <n v="9"/>
    <n v="0.99583999999999995"/>
    <n v="3.35"/>
    <n v="0.54"/>
    <n v="10.5"/>
    <n v="5"/>
    <x v="0"/>
  </r>
  <r>
    <n v="8.1999999999999993"/>
    <n v="0.32"/>
    <n v="0.42"/>
    <n v="2.2999999999999998"/>
    <n v="9.8000000000000004E-2"/>
    <n v="3"/>
    <n v="9"/>
    <n v="0.99505999999999994"/>
    <n v="3.27"/>
    <n v="0.55000000000000004"/>
    <n v="12.3"/>
    <n v="6"/>
    <x v="0"/>
  </r>
  <r>
    <n v="7.7"/>
    <n v="0.57999999999999996"/>
    <n v="0.01"/>
    <n v="1.8"/>
    <n v="8.7999999999999995E-2"/>
    <n v="12"/>
    <n v="18"/>
    <n v="0.99568000000000001"/>
    <n v="3.32"/>
    <n v="0.56000000000000005"/>
    <n v="10.5"/>
    <n v="7"/>
    <x v="1"/>
  </r>
  <r>
    <n v="8.6"/>
    <n v="0.83"/>
    <n v="0"/>
    <n v="2.8"/>
    <n v="9.5000000000000001E-2"/>
    <n v="17"/>
    <n v="43"/>
    <n v="0.99822"/>
    <n v="3.33"/>
    <n v="0.6"/>
    <n v="10.4"/>
    <n v="6"/>
    <x v="0"/>
  </r>
  <r>
    <n v="7.9"/>
    <n v="0.31"/>
    <n v="0.32"/>
    <n v="1.9"/>
    <n v="6.6000000000000003E-2"/>
    <n v="14"/>
    <n v="36"/>
    <n v="0.99363999999999997"/>
    <n v="3.41"/>
    <n v="0.56000000000000005"/>
    <n v="12.6"/>
    <n v="6"/>
    <x v="0"/>
  </r>
  <r>
    <n v="6.4"/>
    <n v="0.79500000000000004"/>
    <n v="0"/>
    <n v="2.2000000000000002"/>
    <n v="6.5000000000000002E-2"/>
    <n v="28"/>
    <n v="52"/>
    <n v="0.99378"/>
    <n v="3.49"/>
    <n v="0.52"/>
    <n v="11.6"/>
    <n v="5"/>
    <x v="0"/>
  </r>
  <r>
    <n v="7.2"/>
    <n v="0.34"/>
    <n v="0.21"/>
    <n v="2.5"/>
    <n v="7.4999999999999997E-2"/>
    <n v="41"/>
    <n v="68"/>
    <n v="0.99585999999999997"/>
    <n v="3.37"/>
    <n v="0.54"/>
    <n v="10.1"/>
    <n v="6"/>
    <x v="0"/>
  </r>
  <r>
    <n v="7.7"/>
    <n v="0.57999999999999996"/>
    <n v="0.01"/>
    <n v="1.8"/>
    <n v="8.7999999999999995E-2"/>
    <n v="12"/>
    <n v="18"/>
    <n v="0.99568000000000001"/>
    <n v="3.32"/>
    <n v="0.56000000000000005"/>
    <n v="10.5"/>
    <n v="7"/>
    <x v="1"/>
  </r>
  <r>
    <n v="7.1"/>
    <n v="0.59"/>
    <n v="0"/>
    <n v="2.1"/>
    <n v="9.0999999999999998E-2"/>
    <n v="9"/>
    <n v="14"/>
    <n v="0.99487999999999999"/>
    <n v="3.42"/>
    <n v="0.55000000000000004"/>
    <n v="11.5"/>
    <n v="7"/>
    <x v="1"/>
  </r>
  <r>
    <n v="7.3"/>
    <n v="0.55000000000000004"/>
    <n v="0.01"/>
    <n v="1.8"/>
    <n v="9.2999999999999999E-2"/>
    <n v="9"/>
    <n v="15"/>
    <n v="0.99514000000000002"/>
    <n v="3.35"/>
    <n v="0.57999999999999996"/>
    <n v="11"/>
    <n v="7"/>
    <x v="1"/>
  </r>
  <r>
    <n v="8.1"/>
    <n v="0.82"/>
    <n v="0"/>
    <n v="4.0999999999999996"/>
    <n v="9.5000000000000001E-2"/>
    <n v="5"/>
    <n v="14"/>
    <n v="0.99853999999999998"/>
    <n v="3.36"/>
    <n v="0.53"/>
    <n v="9.6"/>
    <n v="5"/>
    <x v="0"/>
  </r>
  <r>
    <n v="7.5"/>
    <n v="0.56999999999999995"/>
    <n v="0.08"/>
    <n v="2.6"/>
    <n v="8.8999999999999996E-2"/>
    <n v="14"/>
    <n v="27"/>
    <n v="0.99592000000000003"/>
    <n v="3.3"/>
    <n v="0.59"/>
    <n v="10.4"/>
    <n v="6"/>
    <x v="0"/>
  </r>
  <r>
    <n v="8.9"/>
    <n v="0.745"/>
    <n v="0.18"/>
    <n v="2.5"/>
    <n v="7.6999999999999999E-2"/>
    <n v="15"/>
    <n v="48"/>
    <n v="0.99739"/>
    <n v="3.2"/>
    <n v="0.47"/>
    <n v="9.6999999999999993"/>
    <n v="6"/>
    <x v="0"/>
  </r>
  <r>
    <n v="10.1"/>
    <n v="0.37"/>
    <n v="0.34"/>
    <n v="2.4"/>
    <n v="8.5000000000000006E-2"/>
    <n v="5"/>
    <n v="17"/>
    <n v="0.99682999999999999"/>
    <n v="3.17"/>
    <n v="0.65"/>
    <n v="10.6"/>
    <n v="7"/>
    <x v="1"/>
  </r>
  <r>
    <n v="7.6"/>
    <n v="0.31"/>
    <n v="0.34"/>
    <n v="2.5"/>
    <n v="8.2000000000000003E-2"/>
    <n v="26"/>
    <n v="35"/>
    <n v="0.99356"/>
    <n v="3.22"/>
    <n v="0.59"/>
    <n v="12.5"/>
    <n v="7"/>
    <x v="1"/>
  </r>
  <r>
    <n v="7.3"/>
    <n v="0.91"/>
    <n v="0.1"/>
    <n v="1.8"/>
    <n v="7.3999999999999996E-2"/>
    <n v="20"/>
    <n v="56"/>
    <n v="0.99672000000000005"/>
    <n v="3.35"/>
    <n v="0.56000000000000005"/>
    <n v="9.1999999999999993"/>
    <n v="5"/>
    <x v="0"/>
  </r>
  <r>
    <n v="8.6999999999999993"/>
    <n v="0.41"/>
    <n v="0.41"/>
    <n v="6.2"/>
    <n v="7.8E-2"/>
    <n v="25"/>
    <n v="42"/>
    <n v="0.99529999999999996"/>
    <n v="3.24"/>
    <n v="0.77"/>
    <n v="12.6"/>
    <n v="7"/>
    <x v="1"/>
  </r>
  <r>
    <n v="8.9"/>
    <n v="0.5"/>
    <n v="0.21"/>
    <n v="2.2000000000000002"/>
    <n v="8.7999999999999995E-2"/>
    <n v="21"/>
    <n v="39"/>
    <n v="0.99692000000000003"/>
    <n v="3.33"/>
    <n v="0.83"/>
    <n v="11.1"/>
    <n v="6"/>
    <x v="0"/>
  </r>
  <r>
    <n v="7.4"/>
    <n v="0.96499999999999997"/>
    <n v="0"/>
    <n v="2.2000000000000002"/>
    <n v="8.7999999999999995E-2"/>
    <n v="16"/>
    <n v="32"/>
    <n v="0.99756"/>
    <n v="3.58"/>
    <n v="0.67"/>
    <n v="10.199999999999999"/>
    <n v="5"/>
    <x v="0"/>
  </r>
  <r>
    <n v="6.9"/>
    <n v="0.49"/>
    <n v="0.19"/>
    <n v="1.7"/>
    <n v="7.9000000000000001E-2"/>
    <n v="13"/>
    <n v="26"/>
    <n v="0.99546999999999997"/>
    <n v="3.38"/>
    <n v="0.64"/>
    <n v="9.8000000000000007"/>
    <n v="6"/>
    <x v="0"/>
  </r>
  <r>
    <n v="8.9"/>
    <n v="0.5"/>
    <n v="0.21"/>
    <n v="2.2000000000000002"/>
    <n v="8.7999999999999995E-2"/>
    <n v="21"/>
    <n v="39"/>
    <n v="0.99692000000000003"/>
    <n v="3.33"/>
    <n v="0.83"/>
    <n v="11.1"/>
    <n v="6"/>
    <x v="0"/>
  </r>
  <r>
    <n v="9.5"/>
    <n v="0.39"/>
    <n v="0.41"/>
    <n v="8.9"/>
    <n v="6.9000000000000006E-2"/>
    <n v="18"/>
    <n v="39"/>
    <n v="0.99858999999999998"/>
    <n v="3.29"/>
    <n v="0.81"/>
    <n v="10.9"/>
    <n v="7"/>
    <x v="1"/>
  </r>
  <r>
    <n v="6.4"/>
    <n v="0.39"/>
    <n v="0.33"/>
    <n v="3.3"/>
    <n v="4.5999999999999999E-2"/>
    <n v="12"/>
    <n v="53"/>
    <n v="0.99294000000000004"/>
    <n v="3.36"/>
    <n v="0.62"/>
    <n v="12.2"/>
    <n v="6"/>
    <x v="0"/>
  </r>
  <r>
    <n v="6.9"/>
    <n v="0.44"/>
    <n v="0"/>
    <n v="1.4"/>
    <n v="7.0000000000000007E-2"/>
    <n v="32"/>
    <n v="38"/>
    <n v="0.99438000000000004"/>
    <n v="3.32"/>
    <n v="0.57999999999999996"/>
    <n v="11.4"/>
    <n v="6"/>
    <x v="0"/>
  </r>
  <r>
    <n v="7.6"/>
    <n v="0.78"/>
    <n v="0"/>
    <n v="1.7"/>
    <n v="7.5999999999999998E-2"/>
    <n v="33"/>
    <n v="45"/>
    <n v="0.99612000000000001"/>
    <n v="3.31"/>
    <n v="0.62"/>
    <n v="10.7"/>
    <n v="6"/>
    <x v="0"/>
  </r>
  <r>
    <n v="7.1"/>
    <n v="0.43"/>
    <n v="0.17"/>
    <n v="1.8"/>
    <n v="8.2000000000000003E-2"/>
    <n v="27"/>
    <n v="51"/>
    <n v="0.99634"/>
    <n v="3.49"/>
    <n v="0.64"/>
    <n v="10.4"/>
    <n v="5"/>
    <x v="0"/>
  </r>
  <r>
    <n v="9.3000000000000007"/>
    <n v="0.49"/>
    <n v="0.36"/>
    <n v="1.7"/>
    <n v="8.1000000000000003E-2"/>
    <n v="3"/>
    <n v="14"/>
    <n v="0.99702000000000002"/>
    <n v="3.27"/>
    <n v="0.78"/>
    <n v="10.9"/>
    <n v="6"/>
    <x v="0"/>
  </r>
  <r>
    <n v="9.3000000000000007"/>
    <n v="0.5"/>
    <n v="0.36"/>
    <n v="1.8"/>
    <n v="8.4000000000000005E-2"/>
    <n v="6"/>
    <n v="17"/>
    <n v="0.99704000000000004"/>
    <n v="3.27"/>
    <n v="0.77"/>
    <n v="10.8"/>
    <n v="6"/>
    <x v="0"/>
  </r>
  <r>
    <n v="7.1"/>
    <n v="0.43"/>
    <n v="0.17"/>
    <n v="1.8"/>
    <n v="8.2000000000000003E-2"/>
    <n v="27"/>
    <n v="51"/>
    <n v="0.99634"/>
    <n v="3.49"/>
    <n v="0.64"/>
    <n v="10.4"/>
    <n v="5"/>
    <x v="0"/>
  </r>
  <r>
    <n v="8.5"/>
    <n v="0.46"/>
    <n v="0.59"/>
    <n v="1.4"/>
    <n v="0.41399999999999998"/>
    <n v="16"/>
    <n v="45"/>
    <n v="0.99702000000000002"/>
    <n v="3.03"/>
    <n v="1.34"/>
    <n v="9.1999999999999993"/>
    <n v="5"/>
    <x v="0"/>
  </r>
  <r>
    <n v="5.6"/>
    <n v="0.60499999999999998"/>
    <n v="0.05"/>
    <n v="2.4"/>
    <n v="7.2999999999999995E-2"/>
    <n v="19"/>
    <n v="25"/>
    <n v="0.99258000000000002"/>
    <n v="3.56"/>
    <n v="0.55000000000000004"/>
    <n v="12.9"/>
    <n v="5"/>
    <x v="0"/>
  </r>
  <r>
    <n v="8.3000000000000007"/>
    <n v="0.33"/>
    <n v="0.42"/>
    <n v="2.2999999999999998"/>
    <n v="7.0000000000000007E-2"/>
    <n v="9"/>
    <n v="20"/>
    <n v="0.99426000000000003"/>
    <n v="3.38"/>
    <n v="0.77"/>
    <n v="12.7"/>
    <n v="7"/>
    <x v="1"/>
  </r>
  <r>
    <n v="8.1999999999999993"/>
    <n v="0.64"/>
    <n v="0.27"/>
    <n v="2"/>
    <n v="9.5000000000000001E-2"/>
    <n v="5"/>
    <n v="77"/>
    <n v="0.99746999999999997"/>
    <n v="3.13"/>
    <n v="0.62"/>
    <n v="9.1"/>
    <n v="6"/>
    <x v="0"/>
  </r>
  <r>
    <n v="8.1999999999999993"/>
    <n v="0.64"/>
    <n v="0.27"/>
    <n v="2"/>
    <n v="9.5000000000000001E-2"/>
    <n v="5"/>
    <n v="77"/>
    <n v="0.99746999999999997"/>
    <n v="3.13"/>
    <n v="0.62"/>
    <n v="9.1"/>
    <n v="6"/>
    <x v="0"/>
  </r>
  <r>
    <n v="8.9"/>
    <n v="0.48"/>
    <n v="0.53"/>
    <n v="4"/>
    <n v="0.10100000000000001"/>
    <n v="3"/>
    <n v="10"/>
    <n v="0.99585999999999997"/>
    <n v="3.21"/>
    <n v="0.59"/>
    <n v="12.1"/>
    <n v="7"/>
    <x v="1"/>
  </r>
  <r>
    <n v="7.6"/>
    <n v="0.42"/>
    <n v="0.25"/>
    <n v="3.9"/>
    <n v="0.104"/>
    <n v="28"/>
    <n v="90"/>
    <n v="0.99783999999999995"/>
    <n v="3.15"/>
    <n v="0.56999999999999995"/>
    <n v="9.1"/>
    <n v="5"/>
    <x v="0"/>
  </r>
  <r>
    <n v="9.9"/>
    <n v="0.53"/>
    <n v="0.56999999999999995"/>
    <n v="2.4"/>
    <n v="9.2999999999999999E-2"/>
    <n v="30"/>
    <n v="52"/>
    <n v="0.99709999999999999"/>
    <n v="3.19"/>
    <n v="0.76"/>
    <n v="11.6"/>
    <n v="7"/>
    <x v="1"/>
  </r>
  <r>
    <n v="8.9"/>
    <n v="0.48"/>
    <n v="0.53"/>
    <n v="4"/>
    <n v="0.10100000000000001"/>
    <n v="3"/>
    <n v="10"/>
    <n v="0.99585999999999997"/>
    <n v="3.21"/>
    <n v="0.59"/>
    <n v="12.1"/>
    <n v="7"/>
    <x v="1"/>
  </r>
  <r>
    <n v="11.6"/>
    <n v="0.23"/>
    <n v="0.56999999999999995"/>
    <n v="1.8"/>
    <n v="7.3999999999999996E-2"/>
    <n v="3"/>
    <n v="8"/>
    <n v="0.99809999999999999"/>
    <n v="3.14"/>
    <n v="0.7"/>
    <n v="9.9"/>
    <n v="6"/>
    <x v="0"/>
  </r>
  <r>
    <n v="9.1"/>
    <n v="0.4"/>
    <n v="0.5"/>
    <n v="1.8"/>
    <n v="7.0999999999999994E-2"/>
    <n v="7"/>
    <n v="16"/>
    <n v="0.99461999999999995"/>
    <n v="3.21"/>
    <n v="0.69"/>
    <n v="12.5"/>
    <n v="8"/>
    <x v="1"/>
  </r>
  <r>
    <n v="8"/>
    <n v="0.38"/>
    <n v="0.44"/>
    <n v="1.9"/>
    <n v="9.8000000000000004E-2"/>
    <n v="6"/>
    <n v="15"/>
    <n v="0.99560000000000004"/>
    <n v="3.3"/>
    <n v="0.64"/>
    <n v="11.4"/>
    <n v="6"/>
    <x v="0"/>
  </r>
  <r>
    <n v="10.199999999999999"/>
    <n v="0.28999999999999998"/>
    <n v="0.65"/>
    <n v="2.4"/>
    <n v="7.4999999999999997E-2"/>
    <n v="6"/>
    <n v="17"/>
    <n v="0.99565000000000003"/>
    <n v="3.22"/>
    <n v="0.63"/>
    <n v="11.8"/>
    <n v="6"/>
    <x v="0"/>
  </r>
  <r>
    <n v="8.1999999999999993"/>
    <n v="0.74"/>
    <n v="0.09"/>
    <n v="2"/>
    <n v="6.7000000000000004E-2"/>
    <n v="5"/>
    <n v="10"/>
    <n v="0.99417999999999995"/>
    <n v="3.28"/>
    <n v="0.56999999999999995"/>
    <n v="11.8"/>
    <n v="6"/>
    <x v="0"/>
  </r>
  <r>
    <n v="7.7"/>
    <n v="0.61"/>
    <n v="0.18"/>
    <n v="2.4"/>
    <n v="8.3000000000000004E-2"/>
    <n v="6"/>
    <n v="20"/>
    <n v="0.99629999999999996"/>
    <n v="3.29"/>
    <n v="0.6"/>
    <n v="10.199999999999999"/>
    <n v="6"/>
    <x v="0"/>
  </r>
  <r>
    <n v="6.6"/>
    <n v="0.52"/>
    <n v="0.08"/>
    <n v="2.4"/>
    <n v="7.0000000000000007E-2"/>
    <n v="13"/>
    <n v="26"/>
    <n v="0.99358000000000002"/>
    <n v="3.4"/>
    <n v="0.72"/>
    <n v="12.5"/>
    <n v="7"/>
    <x v="1"/>
  </r>
  <r>
    <n v="11.1"/>
    <n v="0.31"/>
    <n v="0.53"/>
    <n v="2.2000000000000002"/>
    <n v="0.06"/>
    <n v="3"/>
    <n v="10"/>
    <n v="0.99572000000000005"/>
    <n v="3.02"/>
    <n v="0.83"/>
    <n v="10.9"/>
    <n v="7"/>
    <x v="1"/>
  </r>
  <r>
    <n v="11.1"/>
    <n v="0.31"/>
    <n v="0.53"/>
    <n v="2.2000000000000002"/>
    <n v="0.06"/>
    <n v="3"/>
    <n v="10"/>
    <n v="0.99572000000000005"/>
    <n v="3.02"/>
    <n v="0.83"/>
    <n v="10.9"/>
    <n v="7"/>
    <x v="1"/>
  </r>
  <r>
    <n v="8"/>
    <n v="0.62"/>
    <n v="0.35"/>
    <n v="2.8"/>
    <n v="8.5999999999999993E-2"/>
    <n v="28"/>
    <n v="52"/>
    <n v="0.997"/>
    <n v="3.31"/>
    <n v="0.62"/>
    <n v="10.8"/>
    <n v="5"/>
    <x v="0"/>
  </r>
  <r>
    <n v="9.3000000000000007"/>
    <n v="0.33"/>
    <n v="0.45"/>
    <n v="1.5"/>
    <n v="5.7000000000000002E-2"/>
    <n v="19"/>
    <n v="37"/>
    <n v="0.99497999999999998"/>
    <n v="3.18"/>
    <n v="0.89"/>
    <n v="11.1"/>
    <n v="7"/>
    <x v="1"/>
  </r>
  <r>
    <n v="7.5"/>
    <n v="0.77"/>
    <n v="0.2"/>
    <n v="8.1"/>
    <n v="9.8000000000000004E-2"/>
    <n v="30"/>
    <n v="92"/>
    <n v="0.99892000000000003"/>
    <n v="3.2"/>
    <n v="0.57999999999999996"/>
    <n v="9.1999999999999993"/>
    <n v="5"/>
    <x v="0"/>
  </r>
  <r>
    <n v="7.2"/>
    <n v="0.35"/>
    <n v="0.26"/>
    <n v="1.8"/>
    <n v="8.3000000000000004E-2"/>
    <n v="33"/>
    <n v="75"/>
    <n v="0.99680000000000002"/>
    <n v="3.4"/>
    <n v="0.57999999999999996"/>
    <n v="9.5"/>
    <n v="6"/>
    <x v="0"/>
  </r>
  <r>
    <n v="8"/>
    <n v="0.62"/>
    <n v="0.33"/>
    <n v="2.7"/>
    <n v="8.7999999999999995E-2"/>
    <n v="16"/>
    <n v="37"/>
    <n v="0.99719999999999998"/>
    <n v="3.31"/>
    <n v="0.57999999999999996"/>
    <n v="10.7"/>
    <n v="6"/>
    <x v="0"/>
  </r>
  <r>
    <n v="7.5"/>
    <n v="0.77"/>
    <n v="0.2"/>
    <n v="8.1"/>
    <n v="9.8000000000000004E-2"/>
    <n v="30"/>
    <n v="92"/>
    <n v="0.99892000000000003"/>
    <n v="3.2"/>
    <n v="0.57999999999999996"/>
    <n v="9.1999999999999993"/>
    <n v="5"/>
    <x v="0"/>
  </r>
  <r>
    <n v="9.1"/>
    <n v="0.25"/>
    <n v="0.34"/>
    <n v="2"/>
    <n v="7.0999999999999994E-2"/>
    <n v="45"/>
    <n v="67"/>
    <n v="0.99768999999999997"/>
    <n v="3.44"/>
    <n v="0.86"/>
    <n v="10.199999999999999"/>
    <n v="7"/>
    <x v="1"/>
  </r>
  <r>
    <n v="9.9"/>
    <n v="0.32"/>
    <n v="0.56000000000000005"/>
    <n v="2"/>
    <n v="7.2999999999999995E-2"/>
    <n v="3"/>
    <n v="8"/>
    <n v="0.99534"/>
    <n v="3.15"/>
    <n v="0.73"/>
    <n v="11.4"/>
    <n v="6"/>
    <x v="0"/>
  </r>
  <r>
    <n v="8.6"/>
    <n v="0.37"/>
    <n v="0.65"/>
    <n v="6.4"/>
    <n v="0.08"/>
    <n v="3"/>
    <n v="8"/>
    <n v="0.99817"/>
    <n v="3.27"/>
    <n v="0.57999999999999996"/>
    <n v="11"/>
    <n v="5"/>
    <x v="0"/>
  </r>
  <r>
    <n v="8.6"/>
    <n v="0.37"/>
    <n v="0.65"/>
    <n v="6.4"/>
    <n v="0.08"/>
    <n v="3"/>
    <n v="8"/>
    <n v="0.99817"/>
    <n v="3.27"/>
    <n v="0.57999999999999996"/>
    <n v="11"/>
    <n v="5"/>
    <x v="0"/>
  </r>
  <r>
    <n v="7.9"/>
    <n v="0.3"/>
    <n v="0.68"/>
    <n v="8.3000000000000007"/>
    <n v="0.05"/>
    <n v="37.5"/>
    <n v="278"/>
    <n v="0.99316000000000004"/>
    <n v="3.01"/>
    <n v="0.51"/>
    <n v="12.3"/>
    <n v="7"/>
    <x v="1"/>
  </r>
  <r>
    <n v="10.3"/>
    <n v="0.27"/>
    <n v="0.56000000000000005"/>
    <n v="1.4"/>
    <n v="4.7E-2"/>
    <n v="3"/>
    <n v="8"/>
    <n v="0.99470999999999998"/>
    <n v="3.16"/>
    <n v="0.51"/>
    <n v="11.8"/>
    <n v="6"/>
    <x v="0"/>
  </r>
  <r>
    <n v="7.9"/>
    <n v="0.3"/>
    <n v="0.68"/>
    <n v="8.3000000000000007"/>
    <n v="0.05"/>
    <n v="37.5"/>
    <n v="289"/>
    <n v="0.99316000000000004"/>
    <n v="3.01"/>
    <n v="0.51"/>
    <n v="12.3"/>
    <n v="7"/>
    <x v="1"/>
  </r>
  <r>
    <n v="7.2"/>
    <n v="0.38"/>
    <n v="0.3"/>
    <n v="1.8"/>
    <n v="7.2999999999999995E-2"/>
    <n v="31"/>
    <n v="70"/>
    <n v="0.99685000000000001"/>
    <n v="3.42"/>
    <n v="0.59"/>
    <n v="9.5"/>
    <n v="6"/>
    <x v="0"/>
  </r>
  <r>
    <n v="8.6999999999999993"/>
    <n v="0.42"/>
    <n v="0.45"/>
    <n v="2.4"/>
    <n v="7.1999999999999995E-2"/>
    <n v="32"/>
    <n v="59"/>
    <n v="0.99617"/>
    <n v="3.33"/>
    <n v="0.77"/>
    <n v="12"/>
    <n v="6"/>
    <x v="0"/>
  </r>
  <r>
    <n v="7.2"/>
    <n v="0.38"/>
    <n v="0.3"/>
    <n v="1.8"/>
    <n v="7.2999999999999995E-2"/>
    <n v="31"/>
    <n v="70"/>
    <n v="0.99685000000000001"/>
    <n v="3.42"/>
    <n v="0.59"/>
    <n v="9.5"/>
    <n v="6"/>
    <x v="0"/>
  </r>
  <r>
    <n v="6.8"/>
    <n v="0.48"/>
    <n v="0.08"/>
    <n v="1.8"/>
    <n v="7.3999999999999996E-2"/>
    <n v="40"/>
    <n v="64"/>
    <n v="0.99529000000000001"/>
    <n v="3.12"/>
    <n v="0.49"/>
    <n v="9.6"/>
    <n v="5"/>
    <x v="0"/>
  </r>
  <r>
    <n v="8.5"/>
    <n v="0.34"/>
    <n v="0.4"/>
    <n v="4.7"/>
    <n v="5.5E-2"/>
    <n v="3"/>
    <n v="9"/>
    <n v="0.99738000000000004"/>
    <n v="3.38"/>
    <n v="0.66"/>
    <n v="11.6"/>
    <n v="7"/>
    <x v="1"/>
  </r>
  <r>
    <n v="7.9"/>
    <n v="0.19"/>
    <n v="0.42"/>
    <n v="1.6"/>
    <n v="5.7000000000000002E-2"/>
    <n v="18"/>
    <n v="30"/>
    <n v="0.99399999999999999"/>
    <n v="3.29"/>
    <n v="0.69"/>
    <n v="11.2"/>
    <n v="6"/>
    <x v="0"/>
  </r>
  <r>
    <n v="11.6"/>
    <n v="0.41"/>
    <n v="0.54"/>
    <n v="1.5"/>
    <n v="9.5000000000000001E-2"/>
    <n v="22"/>
    <n v="41"/>
    <n v="0.99734999999999996"/>
    <n v="3.02"/>
    <n v="0.76"/>
    <n v="9.9"/>
    <n v="7"/>
    <x v="1"/>
  </r>
  <r>
    <n v="11.6"/>
    <n v="0.41"/>
    <n v="0.54"/>
    <n v="1.5"/>
    <n v="9.5000000000000001E-2"/>
    <n v="22"/>
    <n v="41"/>
    <n v="0.99734999999999996"/>
    <n v="3.02"/>
    <n v="0.76"/>
    <n v="9.9"/>
    <n v="7"/>
    <x v="1"/>
  </r>
  <r>
    <n v="10"/>
    <n v="0.26"/>
    <n v="0.54"/>
    <n v="1.9"/>
    <n v="8.3000000000000004E-2"/>
    <n v="42"/>
    <n v="74"/>
    <n v="0.99451000000000001"/>
    <n v="2.98"/>
    <n v="0.63"/>
    <n v="11.8"/>
    <n v="8"/>
    <x v="1"/>
  </r>
  <r>
    <n v="7.9"/>
    <n v="0.34"/>
    <n v="0.42"/>
    <n v="2"/>
    <n v="8.5999999999999993E-2"/>
    <n v="8"/>
    <n v="19"/>
    <n v="0.99546000000000001"/>
    <n v="3.35"/>
    <n v="0.6"/>
    <n v="11.4"/>
    <n v="6"/>
    <x v="0"/>
  </r>
  <r>
    <n v="7"/>
    <n v="0.54"/>
    <n v="0.09"/>
    <n v="2"/>
    <n v="8.1000000000000003E-2"/>
    <n v="10"/>
    <n v="16"/>
    <n v="0.99478999999999995"/>
    <n v="3.43"/>
    <n v="0.59"/>
    <n v="11.5"/>
    <n v="6"/>
    <x v="0"/>
  </r>
  <r>
    <n v="9.1999999999999993"/>
    <n v="0.31"/>
    <n v="0.36"/>
    <n v="2.2000000000000002"/>
    <n v="7.9000000000000001E-2"/>
    <n v="11"/>
    <n v="31"/>
    <n v="0.99614999999999998"/>
    <n v="3.33"/>
    <n v="0.86"/>
    <n v="12"/>
    <n v="7"/>
    <x v="1"/>
  </r>
  <r>
    <n v="6.6"/>
    <n v="0.72499999999999998"/>
    <n v="0.09"/>
    <n v="5.5"/>
    <n v="0.11700000000000001"/>
    <n v="9"/>
    <n v="17"/>
    <n v="0.99655000000000005"/>
    <n v="3.35"/>
    <n v="0.49"/>
    <n v="10.8"/>
    <n v="6"/>
    <x v="0"/>
  </r>
  <r>
    <n v="9.4"/>
    <n v="0.4"/>
    <n v="0.47"/>
    <n v="2.5"/>
    <n v="8.6999999999999994E-2"/>
    <n v="6"/>
    <n v="20"/>
    <n v="0.99772000000000005"/>
    <n v="3.15"/>
    <n v="0.5"/>
    <n v="10.5"/>
    <n v="5"/>
    <x v="0"/>
  </r>
  <r>
    <n v="6.6"/>
    <n v="0.72499999999999998"/>
    <n v="0.09"/>
    <n v="5.5"/>
    <n v="0.11700000000000001"/>
    <n v="9"/>
    <n v="17"/>
    <n v="0.99655000000000005"/>
    <n v="3.35"/>
    <n v="0.49"/>
    <n v="10.8"/>
    <n v="6"/>
    <x v="0"/>
  </r>
  <r>
    <n v="8.6"/>
    <n v="0.52"/>
    <n v="0.38"/>
    <n v="1.5"/>
    <n v="9.6000000000000002E-2"/>
    <n v="5"/>
    <n v="18"/>
    <n v="0.99665999999999999"/>
    <n v="3.2"/>
    <n v="0.52"/>
    <n v="9.4"/>
    <n v="5"/>
    <x v="0"/>
  </r>
  <r>
    <n v="8"/>
    <n v="0.31"/>
    <n v="0.45"/>
    <n v="2.1"/>
    <n v="0.216"/>
    <n v="5"/>
    <n v="16"/>
    <n v="0.99358000000000002"/>
    <n v="3.15"/>
    <n v="0.81"/>
    <n v="12.5"/>
    <n v="7"/>
    <x v="1"/>
  </r>
  <r>
    <n v="8.6"/>
    <n v="0.52"/>
    <n v="0.38"/>
    <n v="1.5"/>
    <n v="9.6000000000000002E-2"/>
    <n v="5"/>
    <n v="18"/>
    <n v="0.99665999999999999"/>
    <n v="3.2"/>
    <n v="0.52"/>
    <n v="9.4"/>
    <n v="5"/>
    <x v="0"/>
  </r>
  <r>
    <n v="8.4"/>
    <n v="0.34"/>
    <n v="0.42"/>
    <n v="2.1"/>
    <n v="7.1999999999999995E-2"/>
    <n v="23"/>
    <n v="36"/>
    <n v="0.99392000000000003"/>
    <n v="3.11"/>
    <n v="0.78"/>
    <n v="12.4"/>
    <n v="6"/>
    <x v="0"/>
  </r>
  <r>
    <n v="7.4"/>
    <n v="0.49"/>
    <n v="0.27"/>
    <n v="2.1"/>
    <n v="7.0999999999999994E-2"/>
    <n v="14"/>
    <n v="25"/>
    <n v="0.99387999999999999"/>
    <n v="3.35"/>
    <n v="0.63"/>
    <n v="12"/>
    <n v="6"/>
    <x v="0"/>
  </r>
  <r>
    <n v="6.1"/>
    <n v="0.48"/>
    <n v="0.09"/>
    <n v="1.7"/>
    <n v="7.8E-2"/>
    <n v="18"/>
    <n v="30"/>
    <n v="0.99402000000000001"/>
    <n v="3.45"/>
    <n v="0.54"/>
    <n v="11.2"/>
    <n v="6"/>
    <x v="0"/>
  </r>
  <r>
    <n v="7.4"/>
    <n v="0.49"/>
    <n v="0.27"/>
    <n v="2.1"/>
    <n v="7.0999999999999994E-2"/>
    <n v="14"/>
    <n v="25"/>
    <n v="0.99387999999999999"/>
    <n v="3.35"/>
    <n v="0.63"/>
    <n v="12"/>
    <n v="6"/>
    <x v="0"/>
  </r>
  <r>
    <n v="8"/>
    <n v="0.48"/>
    <n v="0.34"/>
    <n v="2.2000000000000002"/>
    <n v="7.2999999999999995E-2"/>
    <n v="16"/>
    <n v="25"/>
    <n v="0.99360000000000004"/>
    <n v="3.28"/>
    <n v="0.66"/>
    <n v="12.4"/>
    <n v="6"/>
    <x v="0"/>
  </r>
  <r>
    <n v="6.3"/>
    <n v="0.56999999999999995"/>
    <n v="0.28000000000000003"/>
    <n v="2.1"/>
    <n v="4.8000000000000001E-2"/>
    <n v="13"/>
    <n v="49"/>
    <n v="0.99373999999999996"/>
    <n v="3.41"/>
    <n v="0.6"/>
    <n v="12.8"/>
    <n v="5"/>
    <x v="0"/>
  </r>
  <r>
    <n v="8.1999999999999993"/>
    <n v="0.23"/>
    <n v="0.42"/>
    <n v="1.9"/>
    <n v="6.9000000000000006E-2"/>
    <n v="9"/>
    <n v="17"/>
    <n v="0.99375999999999998"/>
    <n v="3.21"/>
    <n v="0.54"/>
    <n v="12.3"/>
    <n v="6"/>
    <x v="0"/>
  </r>
  <r>
    <n v="9.1"/>
    <n v="0.3"/>
    <n v="0.41"/>
    <n v="2"/>
    <n v="6.8000000000000005E-2"/>
    <n v="10"/>
    <n v="24"/>
    <n v="0.99522999999999995"/>
    <n v="3.27"/>
    <n v="0.85"/>
    <n v="11.7"/>
    <n v="7"/>
    <x v="1"/>
  </r>
  <r>
    <n v="8.1"/>
    <n v="0.78"/>
    <n v="0.1"/>
    <n v="3.3"/>
    <n v="0.09"/>
    <n v="4"/>
    <n v="13"/>
    <n v="0.99855000000000005"/>
    <n v="3.36"/>
    <n v="0.49"/>
    <n v="9.5"/>
    <n v="5"/>
    <x v="0"/>
  </r>
  <r>
    <n v="10.8"/>
    <n v="0.47"/>
    <n v="0.43"/>
    <n v="2.1"/>
    <n v="0.17100000000000001"/>
    <n v="27"/>
    <n v="66"/>
    <n v="0.99819999999999998"/>
    <n v="3.17"/>
    <n v="0.76"/>
    <n v="10.8"/>
    <n v="6"/>
    <x v="0"/>
  </r>
  <r>
    <n v="8.3000000000000007"/>
    <n v="0.53"/>
    <n v="0"/>
    <n v="1.4"/>
    <n v="7.0000000000000007E-2"/>
    <n v="6"/>
    <n v="14"/>
    <n v="0.99592999999999998"/>
    <n v="3.25"/>
    <n v="0.64"/>
    <n v="10"/>
    <n v="6"/>
    <x v="0"/>
  </r>
  <r>
    <n v="5.4"/>
    <n v="0.42"/>
    <n v="0.27"/>
    <n v="2"/>
    <n v="9.1999999999999998E-2"/>
    <n v="23"/>
    <n v="55"/>
    <n v="0.99470999999999998"/>
    <n v="3.78"/>
    <n v="0.64"/>
    <n v="12.3"/>
    <n v="7"/>
    <x v="1"/>
  </r>
  <r>
    <n v="7.9"/>
    <n v="0.33"/>
    <n v="0.41"/>
    <n v="1.5"/>
    <n v="5.6000000000000001E-2"/>
    <n v="6"/>
    <n v="35"/>
    <n v="0.99395999999999995"/>
    <n v="3.29"/>
    <n v="0.71"/>
    <n v="11"/>
    <n v="6"/>
    <x v="0"/>
  </r>
  <r>
    <n v="8.9"/>
    <n v="0.24"/>
    <n v="0.39"/>
    <n v="1.6"/>
    <n v="7.3999999999999996E-2"/>
    <n v="3"/>
    <n v="10"/>
    <n v="0.99697999999999998"/>
    <n v="3.12"/>
    <n v="0.59"/>
    <n v="9.5"/>
    <n v="6"/>
    <x v="0"/>
  </r>
  <r>
    <n v="5"/>
    <n v="0.4"/>
    <n v="0.5"/>
    <n v="4.3"/>
    <n v="4.5999999999999999E-2"/>
    <n v="29"/>
    <n v="80"/>
    <n v="0.99019999999999997"/>
    <n v="3.49"/>
    <n v="0.66"/>
    <n v="13.6"/>
    <n v="6"/>
    <x v="0"/>
  </r>
  <r>
    <n v="7"/>
    <n v="0.69"/>
    <n v="7.0000000000000007E-2"/>
    <n v="2.5"/>
    <n v="9.0999999999999998E-2"/>
    <n v="15"/>
    <n v="21"/>
    <n v="0.99572000000000005"/>
    <n v="3.38"/>
    <n v="0.6"/>
    <n v="11.3"/>
    <n v="6"/>
    <x v="0"/>
  </r>
  <r>
    <n v="7"/>
    <n v="0.69"/>
    <n v="7.0000000000000007E-2"/>
    <n v="2.5"/>
    <n v="9.0999999999999998E-2"/>
    <n v="15"/>
    <n v="21"/>
    <n v="0.99572000000000005"/>
    <n v="3.38"/>
    <n v="0.6"/>
    <n v="11.3"/>
    <n v="6"/>
    <x v="0"/>
  </r>
  <r>
    <n v="7"/>
    <n v="0.69"/>
    <n v="7.0000000000000007E-2"/>
    <n v="2.5"/>
    <n v="9.0999999999999998E-2"/>
    <n v="15"/>
    <n v="21"/>
    <n v="0.99572000000000005"/>
    <n v="3.38"/>
    <n v="0.6"/>
    <n v="11.3"/>
    <n v="6"/>
    <x v="0"/>
  </r>
  <r>
    <n v="7.1"/>
    <n v="0.39"/>
    <n v="0.12"/>
    <n v="2.1"/>
    <n v="6.5000000000000002E-2"/>
    <n v="14"/>
    <n v="24"/>
    <n v="0.99251999999999996"/>
    <n v="3.3"/>
    <n v="0.53"/>
    <n v="13.3"/>
    <n v="6"/>
    <x v="0"/>
  </r>
  <r>
    <n v="5.6"/>
    <n v="0.66"/>
    <n v="0"/>
    <n v="2.5"/>
    <n v="6.6000000000000003E-2"/>
    <n v="7"/>
    <n v="15"/>
    <n v="0.99256"/>
    <n v="3.52"/>
    <n v="0.57999999999999996"/>
    <n v="12.9"/>
    <n v="5"/>
    <x v="0"/>
  </r>
  <r>
    <n v="7.9"/>
    <n v="0.54"/>
    <n v="0.34"/>
    <n v="2.5"/>
    <n v="7.5999999999999998E-2"/>
    <n v="8"/>
    <n v="17"/>
    <n v="0.99234999999999995"/>
    <n v="3.2"/>
    <n v="0.72"/>
    <n v="13.1"/>
    <n v="8"/>
    <x v="1"/>
  </r>
  <r>
    <n v="6.6"/>
    <n v="0.5"/>
    <n v="0"/>
    <n v="1.8"/>
    <n v="6.2E-2"/>
    <n v="21"/>
    <n v="28"/>
    <n v="0.99351999999999996"/>
    <n v="3.44"/>
    <n v="0.55000000000000004"/>
    <n v="12.3"/>
    <n v="6"/>
    <x v="0"/>
  </r>
  <r>
    <n v="6.3"/>
    <n v="0.47"/>
    <n v="0"/>
    <n v="1.4"/>
    <n v="5.5E-2"/>
    <n v="27"/>
    <n v="33"/>
    <n v="0.99219999999999997"/>
    <n v="3.45"/>
    <n v="0.48"/>
    <n v="12.3"/>
    <n v="6"/>
    <x v="0"/>
  </r>
  <r>
    <n v="10.7"/>
    <n v="0.4"/>
    <n v="0.37"/>
    <n v="1.9"/>
    <n v="8.1000000000000003E-2"/>
    <n v="17"/>
    <n v="29"/>
    <n v="0.99673999999999996"/>
    <n v="3.12"/>
    <n v="0.65"/>
    <n v="11.2"/>
    <n v="6"/>
    <x v="0"/>
  </r>
  <r>
    <n v="6.5"/>
    <n v="0.57999999999999996"/>
    <n v="0"/>
    <n v="2.2000000000000002"/>
    <n v="9.6000000000000002E-2"/>
    <n v="3"/>
    <n v="13"/>
    <n v="0.99556999999999995"/>
    <n v="3.62"/>
    <n v="0.62"/>
    <n v="11.5"/>
    <n v="4"/>
    <x v="2"/>
  </r>
  <r>
    <n v="8.8000000000000007"/>
    <n v="0.24"/>
    <n v="0.35"/>
    <n v="1.7"/>
    <n v="5.5E-2"/>
    <n v="13"/>
    <n v="27"/>
    <n v="0.99394000000000005"/>
    <n v="3.14"/>
    <n v="0.59"/>
    <n v="11.3"/>
    <n v="7"/>
    <x v="1"/>
  </r>
  <r>
    <n v="5.8"/>
    <n v="0.28999999999999998"/>
    <n v="0.26"/>
    <n v="1.7"/>
    <n v="6.3E-2"/>
    <n v="3"/>
    <n v="11"/>
    <n v="0.99150000000000005"/>
    <n v="3.39"/>
    <n v="0.54"/>
    <n v="13.5"/>
    <n v="6"/>
    <x v="0"/>
  </r>
  <r>
    <n v="6.3"/>
    <n v="0.76"/>
    <n v="0"/>
    <n v="2.9"/>
    <n v="7.1999999999999995E-2"/>
    <n v="26"/>
    <n v="52"/>
    <n v="0.99378999999999995"/>
    <n v="3.51"/>
    <n v="0.6"/>
    <n v="11.5"/>
    <n v="6"/>
    <x v="0"/>
  </r>
  <r>
    <n v="10"/>
    <n v="0.43"/>
    <n v="0.33"/>
    <n v="2.7"/>
    <n v="9.5000000000000001E-2"/>
    <n v="28"/>
    <n v="89"/>
    <n v="0.99839999999999995"/>
    <n v="3.22"/>
    <n v="0.68"/>
    <n v="10"/>
    <n v="5"/>
    <x v="0"/>
  </r>
  <r>
    <n v="10.5"/>
    <n v="0.43"/>
    <n v="0.35"/>
    <n v="3.3"/>
    <n v="9.1999999999999998E-2"/>
    <n v="24"/>
    <n v="70"/>
    <n v="0.99797999999999998"/>
    <n v="3.21"/>
    <n v="0.69"/>
    <n v="10.5"/>
    <n v="6"/>
    <x v="0"/>
  </r>
  <r>
    <n v="9.1"/>
    <n v="0.6"/>
    <n v="0"/>
    <n v="1.9"/>
    <n v="5.8000000000000003E-2"/>
    <n v="5"/>
    <n v="10"/>
    <n v="0.99770000000000003"/>
    <n v="3.18"/>
    <n v="0.63"/>
    <n v="10.4"/>
    <n v="6"/>
    <x v="0"/>
  </r>
  <r>
    <n v="5.9"/>
    <n v="0.19"/>
    <n v="0.21"/>
    <n v="1.7"/>
    <n v="4.4999999999999998E-2"/>
    <n v="57"/>
    <n v="135"/>
    <n v="0.99341000000000002"/>
    <n v="3.32"/>
    <n v="0.44"/>
    <n v="9.5"/>
    <n v="5"/>
    <x v="0"/>
  </r>
  <r>
    <n v="7.4"/>
    <n v="0.36"/>
    <n v="0.34"/>
    <n v="1.8"/>
    <n v="7.4999999999999997E-2"/>
    <n v="18"/>
    <n v="38"/>
    <n v="0.99329999999999996"/>
    <n v="3.38"/>
    <n v="0.88"/>
    <n v="13.6"/>
    <n v="7"/>
    <x v="1"/>
  </r>
  <r>
    <n v="7.2"/>
    <n v="0.48"/>
    <n v="7.0000000000000007E-2"/>
    <n v="5.5"/>
    <n v="8.8999999999999996E-2"/>
    <n v="10"/>
    <n v="18"/>
    <n v="0.99683999999999995"/>
    <n v="3.37"/>
    <n v="0.68"/>
    <n v="11.2"/>
    <n v="7"/>
    <x v="1"/>
  </r>
  <r>
    <n v="8.5"/>
    <n v="0.28000000000000003"/>
    <n v="0.35"/>
    <n v="1.7"/>
    <n v="6.0999999999999999E-2"/>
    <n v="6"/>
    <n v="15"/>
    <n v="0.99524000000000001"/>
    <n v="3.3"/>
    <n v="0.74"/>
    <n v="11.8"/>
    <n v="7"/>
    <x v="1"/>
  </r>
  <r>
    <n v="8"/>
    <n v="0.25"/>
    <n v="0.43"/>
    <n v="1.7"/>
    <n v="6.7000000000000004E-2"/>
    <n v="22"/>
    <n v="50"/>
    <n v="0.99460000000000004"/>
    <n v="3.38"/>
    <n v="0.6"/>
    <n v="11.9"/>
    <n v="6"/>
    <x v="0"/>
  </r>
  <r>
    <n v="10.4"/>
    <n v="0.52"/>
    <n v="0.45"/>
    <n v="2"/>
    <n v="0.08"/>
    <n v="6"/>
    <n v="13"/>
    <n v="0.99773999999999996"/>
    <n v="3.22"/>
    <n v="0.76"/>
    <n v="11.4"/>
    <n v="6"/>
    <x v="0"/>
  </r>
  <r>
    <n v="10.4"/>
    <n v="0.52"/>
    <n v="0.45"/>
    <n v="2"/>
    <n v="0.08"/>
    <n v="6"/>
    <n v="13"/>
    <n v="0.99773999999999996"/>
    <n v="3.22"/>
    <n v="0.76"/>
    <n v="11.4"/>
    <n v="6"/>
    <x v="0"/>
  </r>
  <r>
    <n v="7.5"/>
    <n v="0.41"/>
    <n v="0.15"/>
    <n v="3.7"/>
    <n v="0.104"/>
    <n v="29"/>
    <n v="94"/>
    <n v="0.99785999999999997"/>
    <n v="3.14"/>
    <n v="0.57999999999999996"/>
    <n v="9.1"/>
    <n v="5"/>
    <x v="0"/>
  </r>
  <r>
    <n v="8.1999999999999993"/>
    <n v="0.51"/>
    <n v="0.24"/>
    <n v="2"/>
    <n v="7.9000000000000001E-2"/>
    <n v="16"/>
    <n v="86"/>
    <n v="0.99763999999999997"/>
    <n v="3.34"/>
    <n v="0.64"/>
    <n v="9.5"/>
    <n v="6"/>
    <x v="0"/>
  </r>
  <r>
    <n v="7.3"/>
    <n v="0.4"/>
    <n v="0.3"/>
    <n v="1.7"/>
    <n v="0.08"/>
    <n v="33"/>
    <n v="79"/>
    <n v="0.99690000000000001"/>
    <n v="3.41"/>
    <n v="0.65"/>
    <n v="9.5"/>
    <n v="6"/>
    <x v="0"/>
  </r>
  <r>
    <n v="8.1999999999999993"/>
    <n v="0.38"/>
    <n v="0.32"/>
    <n v="2.5"/>
    <n v="0.08"/>
    <n v="24"/>
    <n v="71"/>
    <n v="0.99624000000000001"/>
    <n v="3.27"/>
    <n v="0.85"/>
    <n v="11"/>
    <n v="6"/>
    <x v="0"/>
  </r>
  <r>
    <n v="6.9"/>
    <n v="0.45"/>
    <n v="0.11"/>
    <n v="2.4"/>
    <n v="4.2999999999999997E-2"/>
    <n v="6"/>
    <n v="12"/>
    <n v="0.99353999999999998"/>
    <n v="3.3"/>
    <n v="0.65"/>
    <n v="11.4"/>
    <n v="6"/>
    <x v="0"/>
  </r>
  <r>
    <n v="7"/>
    <n v="0.22"/>
    <n v="0.3"/>
    <n v="1.8"/>
    <n v="6.5000000000000002E-2"/>
    <n v="16"/>
    <n v="20"/>
    <n v="0.99672000000000005"/>
    <n v="3.61"/>
    <n v="0.82"/>
    <n v="10"/>
    <n v="6"/>
    <x v="0"/>
  </r>
  <r>
    <n v="7.3"/>
    <n v="0.32"/>
    <n v="0.23"/>
    <n v="2.2999999999999998"/>
    <n v="6.6000000000000003E-2"/>
    <n v="35"/>
    <n v="70"/>
    <n v="0.99587999999999999"/>
    <n v="3.43"/>
    <n v="0.62"/>
    <n v="10.1"/>
    <n v="5"/>
    <x v="0"/>
  </r>
  <r>
    <n v="8.1999999999999993"/>
    <n v="0.2"/>
    <n v="0.43"/>
    <n v="2.5"/>
    <n v="7.5999999999999998E-2"/>
    <n v="31"/>
    <n v="51"/>
    <n v="0.99672000000000005"/>
    <n v="3.53"/>
    <n v="0.81"/>
    <n v="10.4"/>
    <n v="6"/>
    <x v="0"/>
  </r>
  <r>
    <n v="7.8"/>
    <n v="0.5"/>
    <n v="0.12"/>
    <n v="1.8"/>
    <n v="0.17799999999999999"/>
    <n v="6"/>
    <n v="21"/>
    <n v="0.996"/>
    <n v="3.28"/>
    <n v="0.87"/>
    <n v="9.8000000000000007"/>
    <n v="6"/>
    <x v="0"/>
  </r>
  <r>
    <n v="10"/>
    <n v="0.41"/>
    <n v="0.45"/>
    <n v="6.2"/>
    <n v="7.0999999999999994E-2"/>
    <n v="6"/>
    <n v="14"/>
    <n v="0.99702000000000002"/>
    <n v="3.21"/>
    <n v="0.49"/>
    <n v="11.8"/>
    <n v="7"/>
    <x v="1"/>
  </r>
  <r>
    <n v="7.8"/>
    <n v="0.39"/>
    <n v="0.42"/>
    <n v="2"/>
    <n v="8.5999999999999993E-2"/>
    <n v="9"/>
    <n v="21"/>
    <n v="0.99526000000000003"/>
    <n v="3.39"/>
    <n v="0.66"/>
    <n v="11.6"/>
    <n v="6"/>
    <x v="0"/>
  </r>
  <r>
    <n v="10"/>
    <n v="0.35"/>
    <n v="0.47"/>
    <n v="2"/>
    <n v="6.0999999999999999E-2"/>
    <n v="6"/>
    <n v="11"/>
    <n v="0.99585000000000001"/>
    <n v="3.23"/>
    <n v="0.52"/>
    <n v="12"/>
    <n v="6"/>
    <x v="0"/>
  </r>
  <r>
    <n v="8.1999999999999993"/>
    <n v="0.33"/>
    <n v="0.32"/>
    <n v="2.8"/>
    <n v="6.7000000000000004E-2"/>
    <n v="4"/>
    <n v="12"/>
    <n v="0.99473"/>
    <n v="3.3"/>
    <n v="0.76"/>
    <n v="12.8"/>
    <n v="7"/>
    <x v="1"/>
  </r>
  <r>
    <n v="6.1"/>
    <n v="0.57999999999999996"/>
    <n v="0.23"/>
    <n v="2.5"/>
    <n v="4.3999999999999997E-2"/>
    <n v="16"/>
    <n v="70"/>
    <n v="0.99351999999999996"/>
    <n v="3.46"/>
    <n v="0.65"/>
    <n v="12.5"/>
    <n v="6"/>
    <x v="0"/>
  </r>
  <r>
    <n v="8.3000000000000007"/>
    <n v="0.6"/>
    <n v="0.25"/>
    <n v="2.2000000000000002"/>
    <n v="0.11799999999999999"/>
    <n v="9"/>
    <n v="38"/>
    <n v="0.99616000000000005"/>
    <n v="3.15"/>
    <n v="0.53"/>
    <n v="9.8000000000000007"/>
    <n v="5"/>
    <x v="0"/>
  </r>
  <r>
    <n v="9.6"/>
    <n v="0.42"/>
    <n v="0.35"/>
    <n v="2.1"/>
    <n v="8.3000000000000004E-2"/>
    <n v="17"/>
    <n v="38"/>
    <n v="0.99621999999999999"/>
    <n v="3.23"/>
    <n v="0.66"/>
    <n v="11.1"/>
    <n v="6"/>
    <x v="0"/>
  </r>
  <r>
    <n v="6.6"/>
    <n v="0.57999999999999996"/>
    <n v="0"/>
    <n v="2.2000000000000002"/>
    <n v="0.1"/>
    <n v="50"/>
    <n v="63"/>
    <n v="0.99543999999999999"/>
    <n v="3.59"/>
    <n v="0.68"/>
    <n v="11.4"/>
    <n v="6"/>
    <x v="0"/>
  </r>
  <r>
    <n v="8.3000000000000007"/>
    <n v="0.6"/>
    <n v="0.25"/>
    <n v="2.2000000000000002"/>
    <n v="0.11799999999999999"/>
    <n v="9"/>
    <n v="38"/>
    <n v="0.99616000000000005"/>
    <n v="3.15"/>
    <n v="0.53"/>
    <n v="9.8000000000000007"/>
    <n v="5"/>
    <x v="0"/>
  </r>
  <r>
    <n v="8.5"/>
    <n v="0.18"/>
    <n v="0.51"/>
    <n v="1.75"/>
    <n v="7.0999999999999994E-2"/>
    <n v="45"/>
    <n v="88"/>
    <n v="0.99524000000000001"/>
    <n v="3.33"/>
    <n v="0.76"/>
    <n v="11.8"/>
    <n v="7"/>
    <x v="1"/>
  </r>
  <r>
    <n v="5.0999999999999996"/>
    <n v="0.51"/>
    <n v="0.18"/>
    <n v="2.1"/>
    <n v="4.2000000000000003E-2"/>
    <n v="16"/>
    <n v="101"/>
    <n v="0.99239999999999995"/>
    <n v="3.46"/>
    <n v="0.87"/>
    <n v="12.9"/>
    <n v="7"/>
    <x v="1"/>
  </r>
  <r>
    <n v="6.7"/>
    <n v="0.41"/>
    <n v="0.43"/>
    <n v="2.8"/>
    <n v="7.5999999999999998E-2"/>
    <n v="22"/>
    <n v="54"/>
    <n v="0.99572000000000005"/>
    <n v="3.42"/>
    <n v="1.1599999999999999"/>
    <n v="10.6"/>
    <n v="6"/>
    <x v="0"/>
  </r>
  <r>
    <n v="10.199999999999999"/>
    <n v="0.41"/>
    <n v="0.43"/>
    <n v="2.2000000000000002"/>
    <n v="0.11"/>
    <n v="11"/>
    <n v="37"/>
    <n v="0.99728000000000006"/>
    <n v="3.16"/>
    <n v="0.67"/>
    <n v="10.8"/>
    <n v="5"/>
    <x v="0"/>
  </r>
  <r>
    <n v="10.6"/>
    <n v="0.36"/>
    <n v="0.56999999999999995"/>
    <n v="2.2999999999999998"/>
    <n v="8.6999999999999994E-2"/>
    <n v="6"/>
    <n v="20"/>
    <n v="0.99675999999999998"/>
    <n v="3.14"/>
    <n v="0.72"/>
    <n v="11.1"/>
    <n v="7"/>
    <x v="1"/>
  </r>
  <r>
    <n v="8.8000000000000007"/>
    <n v="0.45"/>
    <n v="0.43"/>
    <n v="1.4"/>
    <n v="7.5999999999999998E-2"/>
    <n v="12"/>
    <n v="21"/>
    <n v="0.99551000000000001"/>
    <n v="3.21"/>
    <n v="0.75"/>
    <n v="10.199999999999999"/>
    <n v="6"/>
    <x v="0"/>
  </r>
  <r>
    <n v="8.5"/>
    <n v="0.32"/>
    <n v="0.42"/>
    <n v="2.2999999999999998"/>
    <n v="7.4999999999999997E-2"/>
    <n v="12"/>
    <n v="19"/>
    <n v="0.99434"/>
    <n v="3.14"/>
    <n v="0.71"/>
    <n v="11.8"/>
    <n v="7"/>
    <x v="1"/>
  </r>
  <r>
    <n v="9"/>
    <n v="0.78500000000000003"/>
    <n v="0.24"/>
    <n v="1.7"/>
    <n v="7.8E-2"/>
    <n v="10"/>
    <n v="21"/>
    <n v="0.99692000000000003"/>
    <n v="3.29"/>
    <n v="0.67"/>
    <n v="10"/>
    <n v="5"/>
    <x v="0"/>
  </r>
  <r>
    <n v="9"/>
    <n v="0.78500000000000003"/>
    <n v="0.24"/>
    <n v="1.7"/>
    <n v="7.8E-2"/>
    <n v="10"/>
    <n v="21"/>
    <n v="0.99692000000000003"/>
    <n v="3.29"/>
    <n v="0.67"/>
    <n v="10"/>
    <n v="5"/>
    <x v="0"/>
  </r>
  <r>
    <n v="8.5"/>
    <n v="0.44"/>
    <n v="0.5"/>
    <n v="1.9"/>
    <n v="0.36899999999999999"/>
    <n v="15"/>
    <n v="38"/>
    <n v="0.99634"/>
    <n v="3.01"/>
    <n v="1.1000000000000001"/>
    <n v="9.4"/>
    <n v="5"/>
    <x v="0"/>
  </r>
  <r>
    <n v="9.9"/>
    <n v="0.54"/>
    <n v="0.26"/>
    <n v="2"/>
    <n v="0.111"/>
    <n v="7"/>
    <n v="60"/>
    <n v="0.99709000000000003"/>
    <n v="2.94"/>
    <n v="0.98"/>
    <n v="10.199999999999999"/>
    <n v="5"/>
    <x v="0"/>
  </r>
  <r>
    <n v="8.1999999999999993"/>
    <n v="0.33"/>
    <n v="0.39"/>
    <n v="2.5"/>
    <n v="7.3999999999999996E-2"/>
    <n v="29"/>
    <n v="48"/>
    <n v="0.99528000000000005"/>
    <n v="3.32"/>
    <n v="0.88"/>
    <n v="12.4"/>
    <n v="7"/>
    <x v="1"/>
  </r>
  <r>
    <n v="6.5"/>
    <n v="0.34"/>
    <n v="0.27"/>
    <n v="2.8"/>
    <n v="6.7000000000000004E-2"/>
    <n v="8"/>
    <n v="44"/>
    <n v="0.99383999999999995"/>
    <n v="3.21"/>
    <n v="0.56000000000000005"/>
    <n v="12"/>
    <n v="6"/>
    <x v="0"/>
  </r>
  <r>
    <n v="7.6"/>
    <n v="0.5"/>
    <n v="0.28999999999999998"/>
    <n v="2.2999999999999998"/>
    <n v="8.5999999999999993E-2"/>
    <n v="5"/>
    <n v="14"/>
    <n v="0.99502000000000002"/>
    <n v="3.32"/>
    <n v="0.62"/>
    <n v="11.5"/>
    <n v="6"/>
    <x v="0"/>
  </r>
  <r>
    <n v="9.1999999999999993"/>
    <n v="0.36"/>
    <n v="0.34"/>
    <n v="1.6"/>
    <n v="6.2E-2"/>
    <n v="5"/>
    <n v="12"/>
    <n v="0.99666999999999994"/>
    <n v="3.2"/>
    <n v="0.67"/>
    <n v="10.5"/>
    <n v="6"/>
    <x v="0"/>
  </r>
  <r>
    <n v="7.1"/>
    <n v="0.59"/>
    <n v="0"/>
    <n v="2.2000000000000002"/>
    <n v="7.8E-2"/>
    <n v="26"/>
    <n v="44"/>
    <n v="0.99521999999999999"/>
    <n v="3.42"/>
    <n v="0.68"/>
    <n v="10.8"/>
    <n v="6"/>
    <x v="0"/>
  </r>
  <r>
    <n v="9.6999999999999993"/>
    <n v="0.42"/>
    <n v="0.46"/>
    <n v="2.1"/>
    <n v="7.3999999999999996E-2"/>
    <n v="5"/>
    <n v="16"/>
    <n v="0.99648999999999999"/>
    <n v="3.27"/>
    <n v="0.74"/>
    <n v="12.3"/>
    <n v="6"/>
    <x v="0"/>
  </r>
  <r>
    <n v="7.6"/>
    <n v="0.36"/>
    <n v="0.31"/>
    <n v="1.7"/>
    <n v="7.9000000000000001E-2"/>
    <n v="26"/>
    <n v="65"/>
    <n v="0.99716000000000005"/>
    <n v="3.46"/>
    <n v="0.62"/>
    <n v="9.5"/>
    <n v="6"/>
    <x v="0"/>
  </r>
  <r>
    <n v="7.6"/>
    <n v="0.36"/>
    <n v="0.31"/>
    <n v="1.7"/>
    <n v="7.9000000000000001E-2"/>
    <n v="26"/>
    <n v="65"/>
    <n v="0.99716000000000005"/>
    <n v="3.46"/>
    <n v="0.62"/>
    <n v="9.5"/>
    <n v="6"/>
    <x v="0"/>
  </r>
  <r>
    <n v="6.5"/>
    <n v="0.61"/>
    <n v="0"/>
    <n v="2.2000000000000002"/>
    <n v="9.5000000000000001E-2"/>
    <n v="48"/>
    <n v="59"/>
    <n v="0.99541000000000002"/>
    <n v="3.61"/>
    <n v="0.7"/>
    <n v="11.5"/>
    <n v="6"/>
    <x v="0"/>
  </r>
  <r>
    <n v="6.5"/>
    <n v="0.88"/>
    <n v="0.03"/>
    <n v="5.6"/>
    <n v="7.9000000000000001E-2"/>
    <n v="23"/>
    <n v="47"/>
    <n v="0.99572000000000005"/>
    <n v="3.58"/>
    <n v="0.5"/>
    <n v="11.2"/>
    <n v="4"/>
    <x v="2"/>
  </r>
  <r>
    <n v="7.1"/>
    <n v="0.66"/>
    <n v="0"/>
    <n v="2.4"/>
    <n v="5.1999999999999998E-2"/>
    <n v="6"/>
    <n v="11"/>
    <n v="0.99317999999999995"/>
    <n v="3.35"/>
    <n v="0.66"/>
    <n v="12.7"/>
    <n v="7"/>
    <x v="1"/>
  </r>
  <r>
    <n v="5.6"/>
    <n v="0.91500000000000004"/>
    <n v="0"/>
    <n v="2.1"/>
    <n v="4.1000000000000002E-2"/>
    <n v="17"/>
    <n v="78"/>
    <n v="0.99346000000000001"/>
    <n v="3.68"/>
    <n v="0.73"/>
    <n v="11.4"/>
    <n v="5"/>
    <x v="0"/>
  </r>
  <r>
    <n v="8.1999999999999993"/>
    <n v="0.35"/>
    <n v="0.33"/>
    <n v="2.4"/>
    <n v="7.5999999999999998E-2"/>
    <n v="11"/>
    <n v="47"/>
    <n v="0.99599000000000004"/>
    <n v="3.27"/>
    <n v="0.81"/>
    <n v="11"/>
    <n v="6"/>
    <x v="0"/>
  </r>
  <r>
    <n v="8.1999999999999993"/>
    <n v="0.35"/>
    <n v="0.33"/>
    <n v="2.4"/>
    <n v="7.5999999999999998E-2"/>
    <n v="11"/>
    <n v="47"/>
    <n v="0.99599000000000004"/>
    <n v="3.27"/>
    <n v="0.81"/>
    <n v="11"/>
    <n v="6"/>
    <x v="0"/>
  </r>
  <r>
    <n v="9.8000000000000007"/>
    <n v="0.39"/>
    <n v="0.43"/>
    <n v="1.65"/>
    <n v="6.8000000000000005E-2"/>
    <n v="5"/>
    <n v="11"/>
    <n v="0.99478"/>
    <n v="3.19"/>
    <n v="0.46"/>
    <n v="11.4"/>
    <n v="5"/>
    <x v="0"/>
  </r>
  <r>
    <n v="10.199999999999999"/>
    <n v="0.4"/>
    <n v="0.4"/>
    <n v="2.5"/>
    <n v="6.8000000000000005E-2"/>
    <n v="41"/>
    <n v="54"/>
    <n v="0.99753999999999998"/>
    <n v="3.38"/>
    <n v="0.86"/>
    <n v="10.5"/>
    <n v="6"/>
    <x v="0"/>
  </r>
  <r>
    <n v="6.8"/>
    <n v="0.66"/>
    <n v="7.0000000000000007E-2"/>
    <n v="1.6"/>
    <n v="7.0000000000000007E-2"/>
    <n v="16"/>
    <n v="61"/>
    <n v="0.99572000000000005"/>
    <n v="3.29"/>
    <n v="0.6"/>
    <n v="9.3000000000000007"/>
    <n v="5"/>
    <x v="0"/>
  </r>
  <r>
    <n v="6.7"/>
    <n v="0.64"/>
    <n v="0.23"/>
    <n v="2.1"/>
    <n v="0.08"/>
    <n v="11"/>
    <n v="119"/>
    <n v="0.99538000000000004"/>
    <n v="3.36"/>
    <n v="0.7"/>
    <n v="10.9"/>
    <n v="5"/>
    <x v="0"/>
  </r>
  <r>
    <n v="7"/>
    <n v="0.43"/>
    <n v="0.3"/>
    <n v="2"/>
    <n v="8.5000000000000006E-2"/>
    <n v="6"/>
    <n v="39"/>
    <n v="0.99346000000000001"/>
    <n v="3.33"/>
    <n v="0.46"/>
    <n v="11.9"/>
    <n v="6"/>
    <x v="0"/>
  </r>
  <r>
    <n v="6.6"/>
    <n v="0.8"/>
    <n v="0.03"/>
    <n v="7.8"/>
    <n v="7.9000000000000001E-2"/>
    <n v="6"/>
    <n v="12"/>
    <n v="0.99629999999999996"/>
    <n v="3.52"/>
    <n v="0.5"/>
    <n v="12.2"/>
    <n v="5"/>
    <x v="0"/>
  </r>
  <r>
    <n v="7"/>
    <n v="0.43"/>
    <n v="0.3"/>
    <n v="2"/>
    <n v="8.5000000000000006E-2"/>
    <n v="6"/>
    <n v="39"/>
    <n v="0.99346000000000001"/>
    <n v="3.33"/>
    <n v="0.46"/>
    <n v="11.9"/>
    <n v="6"/>
    <x v="0"/>
  </r>
  <r>
    <n v="6.7"/>
    <n v="0.64"/>
    <n v="0.23"/>
    <n v="2.1"/>
    <n v="0.08"/>
    <n v="11"/>
    <n v="119"/>
    <n v="0.99538000000000004"/>
    <n v="3.36"/>
    <n v="0.7"/>
    <n v="10.9"/>
    <n v="5"/>
    <x v="0"/>
  </r>
  <r>
    <n v="8.8000000000000007"/>
    <n v="0.95499999999999996"/>
    <n v="0.05"/>
    <n v="1.8"/>
    <n v="7.4999999999999997E-2"/>
    <n v="5"/>
    <n v="19"/>
    <n v="0.99616000000000005"/>
    <n v="3.3"/>
    <n v="0.44"/>
    <n v="9.6"/>
    <n v="4"/>
    <x v="2"/>
  </r>
  <r>
    <n v="9.1"/>
    <n v="0.4"/>
    <n v="0.56999999999999995"/>
    <n v="4.5999999999999996"/>
    <n v="0.08"/>
    <n v="6"/>
    <n v="20"/>
    <n v="0.99651999999999996"/>
    <n v="3.28"/>
    <n v="0.56999999999999995"/>
    <n v="12.5"/>
    <n v="6"/>
    <x v="0"/>
  </r>
  <r>
    <n v="6.5"/>
    <n v="0.88500000000000001"/>
    <n v="0"/>
    <n v="2.2999999999999998"/>
    <n v="0.16600000000000001"/>
    <n v="6"/>
    <n v="12"/>
    <n v="0.99551000000000001"/>
    <n v="3.56"/>
    <n v="0.51"/>
    <n v="10.8"/>
    <n v="5"/>
    <x v="0"/>
  </r>
  <r>
    <n v="7.2"/>
    <n v="0.25"/>
    <n v="0.37"/>
    <n v="2.5"/>
    <n v="6.3E-2"/>
    <n v="11"/>
    <n v="41"/>
    <n v="0.99439"/>
    <n v="3.52"/>
    <n v="0.8"/>
    <n v="12.4"/>
    <n v="7"/>
    <x v="1"/>
  </r>
  <r>
    <n v="6.4"/>
    <n v="0.88500000000000001"/>
    <n v="0"/>
    <n v="2.2999999999999998"/>
    <n v="0.16600000000000001"/>
    <n v="6"/>
    <n v="12"/>
    <n v="0.99551000000000001"/>
    <n v="3.56"/>
    <n v="0.51"/>
    <n v="10.8"/>
    <n v="5"/>
    <x v="0"/>
  </r>
  <r>
    <n v="7"/>
    <n v="0.745"/>
    <n v="0.12"/>
    <n v="1.8"/>
    <n v="0.114"/>
    <n v="15"/>
    <n v="64"/>
    <n v="0.99587999999999999"/>
    <n v="3.22"/>
    <n v="0.59"/>
    <n v="9.5"/>
    <n v="6"/>
    <x v="0"/>
  </r>
  <r>
    <n v="6.2"/>
    <n v="0.43"/>
    <n v="0.22"/>
    <n v="1.8"/>
    <n v="7.8E-2"/>
    <n v="21"/>
    <n v="56"/>
    <n v="0.99633000000000005"/>
    <n v="3.52"/>
    <n v="0.6"/>
    <n v="9.5"/>
    <n v="6"/>
    <x v="0"/>
  </r>
  <r>
    <n v="7.9"/>
    <n v="0.57999999999999996"/>
    <n v="0.23"/>
    <n v="2.2999999999999998"/>
    <n v="7.5999999999999998E-2"/>
    <n v="23"/>
    <n v="94"/>
    <n v="0.99685999999999997"/>
    <n v="3.21"/>
    <n v="0.57999999999999996"/>
    <n v="9.5"/>
    <n v="6"/>
    <x v="0"/>
  </r>
  <r>
    <n v="7.7"/>
    <n v="0.56999999999999995"/>
    <n v="0.21"/>
    <n v="1.5"/>
    <n v="6.9000000000000006E-2"/>
    <n v="4"/>
    <n v="9"/>
    <n v="0.99458000000000002"/>
    <n v="3.16"/>
    <n v="0.54"/>
    <n v="9.8000000000000007"/>
    <n v="6"/>
    <x v="0"/>
  </r>
  <r>
    <n v="7.7"/>
    <n v="0.26"/>
    <n v="0.26"/>
    <n v="2"/>
    <n v="5.1999999999999998E-2"/>
    <n v="19"/>
    <n v="77"/>
    <n v="0.99509999999999998"/>
    <n v="3.15"/>
    <n v="0.79"/>
    <n v="10.9"/>
    <n v="6"/>
    <x v="0"/>
  </r>
  <r>
    <n v="7.9"/>
    <n v="0.57999999999999996"/>
    <n v="0.23"/>
    <n v="2.2999999999999998"/>
    <n v="7.5999999999999998E-2"/>
    <n v="23"/>
    <n v="94"/>
    <n v="0.99685999999999997"/>
    <n v="3.21"/>
    <n v="0.57999999999999996"/>
    <n v="9.5"/>
    <n v="6"/>
    <x v="0"/>
  </r>
  <r>
    <n v="7.7"/>
    <n v="0.56999999999999995"/>
    <n v="0.21"/>
    <n v="1.5"/>
    <n v="6.9000000000000006E-2"/>
    <n v="4"/>
    <n v="9"/>
    <n v="0.99458000000000002"/>
    <n v="3.16"/>
    <n v="0.54"/>
    <n v="9.8000000000000007"/>
    <n v="6"/>
    <x v="0"/>
  </r>
  <r>
    <n v="7.9"/>
    <n v="0.34"/>
    <n v="0.36"/>
    <n v="1.9"/>
    <n v="6.5000000000000002E-2"/>
    <n v="5"/>
    <n v="10"/>
    <n v="0.99419000000000002"/>
    <n v="3.27"/>
    <n v="0.54"/>
    <n v="11.2"/>
    <n v="7"/>
    <x v="1"/>
  </r>
  <r>
    <n v="8.6"/>
    <n v="0.42"/>
    <n v="0.39"/>
    <n v="1.8"/>
    <n v="6.8000000000000005E-2"/>
    <n v="6"/>
    <n v="12"/>
    <n v="0.99516000000000004"/>
    <n v="3.35"/>
    <n v="0.69"/>
    <n v="11.7"/>
    <n v="8"/>
    <x v="1"/>
  </r>
  <r>
    <n v="9.9"/>
    <n v="0.74"/>
    <n v="0.19"/>
    <n v="5.8"/>
    <n v="0.111"/>
    <n v="33"/>
    <n v="76"/>
    <n v="0.99878"/>
    <n v="3.14"/>
    <n v="0.55000000000000004"/>
    <n v="9.4"/>
    <n v="5"/>
    <x v="0"/>
  </r>
  <r>
    <n v="7.2"/>
    <n v="0.36"/>
    <n v="0.46"/>
    <n v="2.1"/>
    <n v="7.3999999999999996E-2"/>
    <n v="24"/>
    <n v="44"/>
    <n v="0.99534"/>
    <n v="3.4"/>
    <n v="0.85"/>
    <n v="11"/>
    <n v="7"/>
    <x v="1"/>
  </r>
  <r>
    <n v="7.2"/>
    <n v="0.36"/>
    <n v="0.46"/>
    <n v="2.1"/>
    <n v="7.3999999999999996E-2"/>
    <n v="24"/>
    <n v="44"/>
    <n v="0.99534"/>
    <n v="3.4"/>
    <n v="0.85"/>
    <n v="11"/>
    <n v="7"/>
    <x v="1"/>
  </r>
  <r>
    <n v="7.2"/>
    <n v="0.36"/>
    <n v="0.46"/>
    <n v="2.1"/>
    <n v="7.3999999999999996E-2"/>
    <n v="24"/>
    <n v="44"/>
    <n v="0.99534"/>
    <n v="3.4"/>
    <n v="0.85"/>
    <n v="11"/>
    <n v="7"/>
    <x v="1"/>
  </r>
  <r>
    <n v="9.9"/>
    <n v="0.72"/>
    <n v="0.55000000000000004"/>
    <n v="1.7"/>
    <n v="0.13600000000000001"/>
    <n v="24"/>
    <n v="52"/>
    <n v="0.99751999999999996"/>
    <n v="3.35"/>
    <n v="0.94"/>
    <n v="10"/>
    <n v="5"/>
    <x v="0"/>
  </r>
  <r>
    <n v="7.2"/>
    <n v="0.36"/>
    <n v="0.46"/>
    <n v="2.1"/>
    <n v="7.3999999999999996E-2"/>
    <n v="24"/>
    <n v="44"/>
    <n v="0.99534"/>
    <n v="3.4"/>
    <n v="0.85"/>
    <n v="11"/>
    <n v="7"/>
    <x v="1"/>
  </r>
  <r>
    <n v="6.2"/>
    <n v="0.39"/>
    <n v="0.43"/>
    <n v="2"/>
    <n v="7.0999999999999994E-2"/>
    <n v="14"/>
    <n v="24"/>
    <n v="0.99428000000000005"/>
    <n v="3.45"/>
    <n v="0.87"/>
    <n v="11.2"/>
    <n v="7"/>
    <x v="1"/>
  </r>
  <r>
    <n v="6.8"/>
    <n v="0.65"/>
    <n v="0.02"/>
    <n v="2.1"/>
    <n v="7.8E-2"/>
    <n v="8"/>
    <n v="15"/>
    <n v="0.99497999999999998"/>
    <n v="3.35"/>
    <n v="0.62"/>
    <n v="10.4"/>
    <n v="6"/>
    <x v="0"/>
  </r>
  <r>
    <n v="6.6"/>
    <n v="0.44"/>
    <n v="0.15"/>
    <n v="2.1"/>
    <n v="7.5999999999999998E-2"/>
    <n v="22"/>
    <n v="53"/>
    <n v="0.99570000000000003"/>
    <n v="3.32"/>
    <n v="0.62"/>
    <n v="9.3000000000000007"/>
    <n v="5"/>
    <x v="0"/>
  </r>
  <r>
    <n v="6.8"/>
    <n v="0.65"/>
    <n v="0.02"/>
    <n v="2.1"/>
    <n v="7.8E-2"/>
    <n v="8"/>
    <n v="15"/>
    <n v="0.99497999999999998"/>
    <n v="3.35"/>
    <n v="0.62"/>
    <n v="10.4"/>
    <n v="6"/>
    <x v="0"/>
  </r>
  <r>
    <n v="9.6"/>
    <n v="0.38"/>
    <n v="0.42"/>
    <n v="1.9"/>
    <n v="7.0999999999999994E-2"/>
    <n v="5"/>
    <n v="13"/>
    <n v="0.99658999999999998"/>
    <n v="3.15"/>
    <n v="0.75"/>
    <n v="10.5"/>
    <n v="6"/>
    <x v="0"/>
  </r>
  <r>
    <n v="10.199999999999999"/>
    <n v="0.33"/>
    <n v="0.46"/>
    <n v="1.9"/>
    <n v="8.1000000000000003E-2"/>
    <n v="6"/>
    <n v="9"/>
    <n v="0.99628000000000005"/>
    <n v="3.1"/>
    <n v="0.48"/>
    <n v="10.4"/>
    <n v="6"/>
    <x v="0"/>
  </r>
  <r>
    <n v="8.8000000000000007"/>
    <n v="0.27"/>
    <n v="0.46"/>
    <n v="2.1"/>
    <n v="9.5000000000000001E-2"/>
    <n v="20"/>
    <n v="29"/>
    <n v="0.99487999999999999"/>
    <n v="3.26"/>
    <n v="0.56000000000000005"/>
    <n v="11.3"/>
    <n v="6"/>
    <x v="0"/>
  </r>
  <r>
    <n v="7.9"/>
    <n v="0.56999999999999995"/>
    <n v="0.31"/>
    <n v="2"/>
    <n v="7.9000000000000001E-2"/>
    <n v="10"/>
    <n v="79"/>
    <n v="0.99677000000000004"/>
    <n v="3.29"/>
    <n v="0.69"/>
    <n v="9.5"/>
    <n v="6"/>
    <x v="0"/>
  </r>
  <r>
    <n v="8.1999999999999993"/>
    <n v="0.34"/>
    <n v="0.37"/>
    <n v="1.9"/>
    <n v="5.7000000000000002E-2"/>
    <n v="43"/>
    <n v="74"/>
    <n v="0.99407999999999996"/>
    <n v="3.23"/>
    <n v="0.81"/>
    <n v="12"/>
    <n v="6"/>
    <x v="0"/>
  </r>
  <r>
    <n v="8.1999999999999993"/>
    <n v="0.4"/>
    <n v="0.31"/>
    <n v="1.9"/>
    <n v="8.2000000000000003E-2"/>
    <n v="8"/>
    <n v="24"/>
    <n v="0.996"/>
    <n v="3.24"/>
    <n v="0.69"/>
    <n v="10.6"/>
    <n v="6"/>
    <x v="0"/>
  </r>
  <r>
    <n v="9"/>
    <n v="0.39"/>
    <n v="0.4"/>
    <n v="1.3"/>
    <n v="4.3999999999999997E-2"/>
    <n v="25"/>
    <n v="50"/>
    <n v="0.99478"/>
    <n v="3.2"/>
    <n v="0.83"/>
    <n v="10.9"/>
    <n v="6"/>
    <x v="0"/>
  </r>
  <r>
    <n v="10.9"/>
    <n v="0.32"/>
    <n v="0.52"/>
    <n v="1.8"/>
    <n v="0.13200000000000001"/>
    <n v="17"/>
    <n v="44"/>
    <n v="0.99734"/>
    <n v="3.28"/>
    <n v="0.77"/>
    <n v="11.5"/>
    <n v="6"/>
    <x v="0"/>
  </r>
  <r>
    <n v="10.9"/>
    <n v="0.32"/>
    <n v="0.52"/>
    <n v="1.8"/>
    <n v="0.13200000000000001"/>
    <n v="17"/>
    <n v="44"/>
    <n v="0.99734"/>
    <n v="3.28"/>
    <n v="0.77"/>
    <n v="11.5"/>
    <n v="6"/>
    <x v="0"/>
  </r>
  <r>
    <n v="8.1"/>
    <n v="0.53"/>
    <n v="0.22"/>
    <n v="2.2000000000000002"/>
    <n v="7.8E-2"/>
    <n v="33"/>
    <n v="89"/>
    <n v="0.99678"/>
    <n v="3.26"/>
    <n v="0.46"/>
    <n v="9.6"/>
    <n v="6"/>
    <x v="0"/>
  </r>
  <r>
    <n v="10.5"/>
    <n v="0.36"/>
    <n v="0.47"/>
    <n v="2.2000000000000002"/>
    <n v="7.3999999999999996E-2"/>
    <n v="9"/>
    <n v="23"/>
    <n v="0.99638000000000004"/>
    <n v="3.23"/>
    <n v="0.76"/>
    <n v="12"/>
    <n v="6"/>
    <x v="0"/>
  </r>
  <r>
    <n v="12.6"/>
    <n v="0.39"/>
    <n v="0.49"/>
    <n v="2.5"/>
    <n v="0.08"/>
    <n v="8"/>
    <n v="20"/>
    <n v="0.99919999999999998"/>
    <n v="3.07"/>
    <n v="0.82"/>
    <n v="10.3"/>
    <n v="6"/>
    <x v="0"/>
  </r>
  <r>
    <n v="9.1999999999999993"/>
    <n v="0.46"/>
    <n v="0.23"/>
    <n v="2.6"/>
    <n v="9.0999999999999998E-2"/>
    <n v="18"/>
    <n v="77"/>
    <n v="0.99922"/>
    <n v="3.15"/>
    <n v="0.51"/>
    <n v="9.4"/>
    <n v="5"/>
    <x v="0"/>
  </r>
  <r>
    <n v="7.5"/>
    <n v="0.57999999999999996"/>
    <n v="0.03"/>
    <n v="4.0999999999999996"/>
    <n v="0.08"/>
    <n v="27"/>
    <n v="46"/>
    <n v="0.99592000000000003"/>
    <n v="3.02"/>
    <n v="0.47"/>
    <n v="9.1999999999999993"/>
    <n v="5"/>
    <x v="0"/>
  </r>
  <r>
    <n v="9"/>
    <n v="0.57999999999999996"/>
    <n v="0.25"/>
    <n v="2"/>
    <n v="0.104"/>
    <n v="8"/>
    <n v="21"/>
    <n v="0.99768999999999997"/>
    <n v="3.27"/>
    <n v="0.72"/>
    <n v="9.6"/>
    <n v="5"/>
    <x v="0"/>
  </r>
  <r>
    <n v="5.0999999999999996"/>
    <n v="0.42"/>
    <n v="0"/>
    <n v="1.8"/>
    <n v="4.3999999999999997E-2"/>
    <n v="18"/>
    <n v="88"/>
    <n v="0.99156999999999995"/>
    <n v="3.68"/>
    <n v="0.73"/>
    <n v="13.6"/>
    <n v="7"/>
    <x v="1"/>
  </r>
  <r>
    <n v="7.6"/>
    <n v="0.43"/>
    <n v="0.28999999999999998"/>
    <n v="2.1"/>
    <n v="7.4999999999999997E-2"/>
    <n v="19"/>
    <n v="66"/>
    <n v="0.99717999999999996"/>
    <n v="3.4"/>
    <n v="0.64"/>
    <n v="9.5"/>
    <n v="5"/>
    <x v="0"/>
  </r>
  <r>
    <n v="7.7"/>
    <n v="0.18"/>
    <n v="0.34"/>
    <n v="2.7"/>
    <n v="6.6000000000000003E-2"/>
    <n v="15"/>
    <n v="58"/>
    <n v="0.99470000000000003"/>
    <n v="3.37"/>
    <n v="0.78"/>
    <n v="11.8"/>
    <n v="6"/>
    <x v="0"/>
  </r>
  <r>
    <n v="7.8"/>
    <n v="0.81499999999999995"/>
    <n v="0.01"/>
    <n v="2.6"/>
    <n v="7.3999999999999996E-2"/>
    <n v="48"/>
    <n v="90"/>
    <n v="0.99621000000000004"/>
    <n v="3.38"/>
    <n v="0.62"/>
    <n v="10.8"/>
    <n v="5"/>
    <x v="0"/>
  </r>
  <r>
    <n v="7.6"/>
    <n v="0.43"/>
    <n v="0.28999999999999998"/>
    <n v="2.1"/>
    <n v="7.4999999999999997E-2"/>
    <n v="19"/>
    <n v="66"/>
    <n v="0.99717999999999996"/>
    <n v="3.4"/>
    <n v="0.64"/>
    <n v="9.5"/>
    <n v="5"/>
    <x v="0"/>
  </r>
  <r>
    <n v="10.199999999999999"/>
    <n v="0.23"/>
    <n v="0.37"/>
    <n v="2.2000000000000002"/>
    <n v="5.7000000000000002E-2"/>
    <n v="14"/>
    <n v="36"/>
    <n v="0.99614000000000003"/>
    <n v="3.23"/>
    <n v="0.49"/>
    <n v="9.3000000000000007"/>
    <n v="4"/>
    <x v="2"/>
  </r>
  <r>
    <n v="7.1"/>
    <n v="0.75"/>
    <n v="0.01"/>
    <n v="2.2000000000000002"/>
    <n v="5.8999999999999997E-2"/>
    <n v="11"/>
    <n v="18"/>
    <n v="0.99241999999999997"/>
    <n v="3.39"/>
    <n v="0.4"/>
    <n v="12.8"/>
    <n v="6"/>
    <x v="0"/>
  </r>
  <r>
    <n v="6"/>
    <n v="0.33"/>
    <n v="0.32"/>
    <n v="12.9"/>
    <n v="5.3999999999999999E-2"/>
    <n v="6"/>
    <n v="113"/>
    <n v="0.99572000000000005"/>
    <n v="3.3"/>
    <n v="0.56000000000000005"/>
    <n v="11.5"/>
    <n v="4"/>
    <x v="2"/>
  </r>
  <r>
    <n v="7.8"/>
    <n v="0.55000000000000004"/>
    <n v="0"/>
    <n v="1.7"/>
    <n v="7.0000000000000007E-2"/>
    <n v="7"/>
    <n v="17"/>
    <n v="0.99658999999999998"/>
    <n v="3.26"/>
    <n v="0.64"/>
    <n v="9.4"/>
    <n v="6"/>
    <x v="0"/>
  </r>
  <r>
    <n v="7.1"/>
    <n v="0.75"/>
    <n v="0.01"/>
    <n v="2.2000000000000002"/>
    <n v="5.8999999999999997E-2"/>
    <n v="11"/>
    <n v="18"/>
    <n v="0.99241999999999997"/>
    <n v="3.39"/>
    <n v="0.4"/>
    <n v="12.8"/>
    <n v="6"/>
    <x v="0"/>
  </r>
  <r>
    <n v="8.1"/>
    <n v="0.73"/>
    <n v="0"/>
    <n v="2.5"/>
    <n v="8.1000000000000003E-2"/>
    <n v="12"/>
    <n v="24"/>
    <n v="0.99797999999999998"/>
    <n v="3.38"/>
    <n v="0.46"/>
    <n v="9.6"/>
    <n v="4"/>
    <x v="2"/>
  </r>
  <r>
    <n v="6.5"/>
    <n v="0.67"/>
    <n v="0"/>
    <n v="4.3"/>
    <n v="5.7000000000000002E-2"/>
    <n v="11"/>
    <n v="20"/>
    <n v="0.99487999999999999"/>
    <n v="3.45"/>
    <n v="0.56000000000000005"/>
    <n v="11.8"/>
    <n v="4"/>
    <x v="2"/>
  </r>
  <r>
    <n v="7.5"/>
    <n v="0.61"/>
    <n v="0.2"/>
    <n v="1.7"/>
    <n v="7.5999999999999998E-2"/>
    <n v="36"/>
    <n v="60"/>
    <n v="0.99494000000000005"/>
    <n v="3.1"/>
    <n v="0.4"/>
    <n v="9.3000000000000007"/>
    <n v="5"/>
    <x v="0"/>
  </r>
  <r>
    <n v="9.8000000000000007"/>
    <n v="0.37"/>
    <n v="0.39"/>
    <n v="2.5"/>
    <n v="7.9000000000000001E-2"/>
    <n v="28"/>
    <n v="65"/>
    <n v="0.99729000000000001"/>
    <n v="3.16"/>
    <n v="0.59"/>
    <n v="9.8000000000000007"/>
    <n v="5"/>
    <x v="0"/>
  </r>
  <r>
    <n v="9"/>
    <n v="0.4"/>
    <n v="0.41"/>
    <n v="2"/>
    <n v="5.8000000000000003E-2"/>
    <n v="15"/>
    <n v="40"/>
    <n v="0.99414000000000002"/>
    <n v="3.22"/>
    <n v="0.6"/>
    <n v="12.2"/>
    <n v="6"/>
    <x v="0"/>
  </r>
  <r>
    <n v="8.3000000000000007"/>
    <n v="0.56000000000000005"/>
    <n v="0.22"/>
    <n v="2.4"/>
    <n v="8.2000000000000003E-2"/>
    <n v="10"/>
    <n v="86"/>
    <n v="0.99829999999999997"/>
    <n v="3.37"/>
    <n v="0.62"/>
    <n v="9.5"/>
    <n v="5"/>
    <x v="0"/>
  </r>
  <r>
    <n v="5.9"/>
    <n v="0.28999999999999998"/>
    <n v="0.25"/>
    <n v="13.4"/>
    <n v="6.7000000000000004E-2"/>
    <n v="72"/>
    <n v="160"/>
    <n v="0.99721000000000004"/>
    <n v="3.33"/>
    <n v="0.54"/>
    <n v="10.3"/>
    <n v="6"/>
    <x v="0"/>
  </r>
  <r>
    <n v="7.4"/>
    <n v="0.55000000000000004"/>
    <n v="0.19"/>
    <n v="1.8"/>
    <n v="8.2000000000000003E-2"/>
    <n v="15"/>
    <n v="34"/>
    <n v="0.99655000000000005"/>
    <n v="3.49"/>
    <n v="0.68"/>
    <n v="10.5"/>
    <n v="5"/>
    <x v="0"/>
  </r>
  <r>
    <n v="7.4"/>
    <n v="0.74"/>
    <n v="7.0000000000000007E-2"/>
    <n v="1.7"/>
    <n v="8.5999999999999993E-2"/>
    <n v="15"/>
    <n v="48"/>
    <n v="0.99502000000000002"/>
    <n v="3.12"/>
    <n v="0.48"/>
    <n v="10"/>
    <n v="5"/>
    <x v="0"/>
  </r>
  <r>
    <n v="7.4"/>
    <n v="0.55000000000000004"/>
    <n v="0.19"/>
    <n v="1.8"/>
    <n v="8.2000000000000003E-2"/>
    <n v="15"/>
    <n v="34"/>
    <n v="0.99655000000000005"/>
    <n v="3.49"/>
    <n v="0.68"/>
    <n v="10.5"/>
    <n v="5"/>
    <x v="0"/>
  </r>
  <r>
    <n v="6.9"/>
    <n v="0.41"/>
    <n v="0.33"/>
    <n v="2.2000000000000002"/>
    <n v="8.1000000000000003E-2"/>
    <n v="22"/>
    <n v="36"/>
    <n v="0.99490000000000001"/>
    <n v="3.41"/>
    <n v="0.75"/>
    <n v="11.1"/>
    <n v="6"/>
    <x v="0"/>
  </r>
  <r>
    <n v="7.1"/>
    <n v="0.6"/>
    <n v="0.01"/>
    <n v="2.2999999999999998"/>
    <n v="7.9000000000000001E-2"/>
    <n v="24"/>
    <n v="37"/>
    <n v="0.99514000000000002"/>
    <n v="3.4"/>
    <n v="0.61"/>
    <n v="10.9"/>
    <n v="6"/>
    <x v="0"/>
  </r>
  <r>
    <n v="7.1"/>
    <n v="0.6"/>
    <n v="0.01"/>
    <n v="2.2999999999999998"/>
    <n v="7.9000000000000001E-2"/>
    <n v="24"/>
    <n v="37"/>
    <n v="0.99514000000000002"/>
    <n v="3.4"/>
    <n v="0.61"/>
    <n v="10.9"/>
    <n v="6"/>
    <x v="0"/>
  </r>
  <r>
    <n v="7.5"/>
    <n v="0.57999999999999996"/>
    <n v="0.14000000000000001"/>
    <n v="2.2000000000000002"/>
    <n v="7.6999999999999999E-2"/>
    <n v="27"/>
    <n v="60"/>
    <n v="0.99629999999999996"/>
    <n v="3.28"/>
    <n v="0.59"/>
    <n v="9.8000000000000007"/>
    <n v="5"/>
    <x v="0"/>
  </r>
  <r>
    <n v="7.1"/>
    <n v="0.72"/>
    <n v="0"/>
    <n v="1.8"/>
    <n v="0.123"/>
    <n v="6"/>
    <n v="14"/>
    <n v="0.99626999999999999"/>
    <n v="3.45"/>
    <n v="0.57999999999999996"/>
    <n v="9.8000000000000007"/>
    <n v="5"/>
    <x v="0"/>
  </r>
  <r>
    <n v="7.9"/>
    <n v="0.66"/>
    <n v="0"/>
    <n v="1.4"/>
    <n v="9.6000000000000002E-2"/>
    <n v="6"/>
    <n v="13"/>
    <n v="0.99568999999999996"/>
    <n v="3.43"/>
    <n v="0.57999999999999996"/>
    <n v="9.5"/>
    <n v="5"/>
    <x v="0"/>
  </r>
  <r>
    <n v="7.8"/>
    <n v="0.7"/>
    <n v="0.06"/>
    <n v="1.9"/>
    <n v="7.9000000000000001E-2"/>
    <n v="20"/>
    <n v="35"/>
    <n v="0.99628000000000005"/>
    <n v="3.4"/>
    <n v="0.69"/>
    <n v="10.9"/>
    <n v="5"/>
    <x v="0"/>
  </r>
  <r>
    <n v="6.1"/>
    <n v="0.64"/>
    <n v="0.02"/>
    <n v="2.4"/>
    <n v="6.9000000000000006E-2"/>
    <n v="26"/>
    <n v="46"/>
    <n v="0.99358000000000002"/>
    <n v="3.47"/>
    <n v="0.45"/>
    <n v="11"/>
    <n v="5"/>
    <x v="0"/>
  </r>
  <r>
    <n v="7.5"/>
    <n v="0.59"/>
    <n v="0.22"/>
    <n v="1.8"/>
    <n v="8.2000000000000003E-2"/>
    <n v="43"/>
    <n v="60"/>
    <n v="0.99499000000000004"/>
    <n v="3.1"/>
    <n v="0.42"/>
    <n v="9.1999999999999993"/>
    <n v="5"/>
    <x v="0"/>
  </r>
  <r>
    <n v="7"/>
    <n v="0.57999999999999996"/>
    <n v="0.28000000000000003"/>
    <n v="4.8"/>
    <n v="8.5000000000000006E-2"/>
    <n v="12"/>
    <n v="69"/>
    <n v="0.99633000000000005"/>
    <n v="3.32"/>
    <n v="0.7"/>
    <n v="11"/>
    <n v="6"/>
    <x v="0"/>
  </r>
  <r>
    <n v="6.8"/>
    <n v="0.64"/>
    <n v="0"/>
    <n v="2.7"/>
    <n v="0.123"/>
    <n v="15"/>
    <n v="33"/>
    <n v="0.99538000000000004"/>
    <n v="3.44"/>
    <n v="0.63"/>
    <n v="11.3"/>
    <n v="6"/>
    <x v="0"/>
  </r>
  <r>
    <n v="6.8"/>
    <n v="0.64"/>
    <n v="0"/>
    <n v="2.7"/>
    <n v="0.123"/>
    <n v="15"/>
    <n v="33"/>
    <n v="0.99538000000000004"/>
    <n v="3.44"/>
    <n v="0.63"/>
    <n v="11.3"/>
    <n v="6"/>
    <x v="0"/>
  </r>
  <r>
    <n v="8.6"/>
    <n v="0.63500000000000001"/>
    <n v="0.68"/>
    <n v="1.8"/>
    <n v="0.40300000000000002"/>
    <n v="19"/>
    <n v="56"/>
    <n v="0.99631999999999998"/>
    <n v="3.02"/>
    <n v="1.1499999999999999"/>
    <n v="9.3000000000000007"/>
    <n v="5"/>
    <x v="0"/>
  </r>
  <r>
    <n v="6.3"/>
    <n v="1.02"/>
    <n v="0"/>
    <n v="2"/>
    <n v="8.3000000000000004E-2"/>
    <n v="17"/>
    <n v="24"/>
    <n v="0.99436999999999998"/>
    <n v="3.59"/>
    <n v="0.55000000000000004"/>
    <n v="11.2"/>
    <n v="4"/>
    <x v="2"/>
  </r>
  <r>
    <n v="9.8000000000000007"/>
    <n v="0.45"/>
    <n v="0.38"/>
    <n v="2.5"/>
    <n v="8.1000000000000003E-2"/>
    <n v="34"/>
    <n v="66"/>
    <n v="0.99726000000000004"/>
    <n v="3.15"/>
    <n v="0.57999999999999996"/>
    <n v="9.8000000000000007"/>
    <n v="5"/>
    <x v="0"/>
  </r>
  <r>
    <n v="8.1999999999999993"/>
    <n v="0.78"/>
    <n v="0"/>
    <n v="2.2000000000000002"/>
    <n v="8.8999999999999996E-2"/>
    <n v="13"/>
    <n v="26"/>
    <n v="0.99780000000000002"/>
    <n v="3.37"/>
    <n v="0.46"/>
    <n v="9.6"/>
    <n v="4"/>
    <x v="2"/>
  </r>
  <r>
    <n v="8.5"/>
    <n v="0.37"/>
    <n v="0.32"/>
    <n v="1.8"/>
    <n v="6.6000000000000003E-2"/>
    <n v="26"/>
    <n v="51"/>
    <n v="0.99456"/>
    <n v="3.38"/>
    <n v="0.72"/>
    <n v="11.8"/>
    <n v="6"/>
    <x v="0"/>
  </r>
  <r>
    <n v="7.2"/>
    <n v="0.56999999999999995"/>
    <n v="0.05"/>
    <n v="2.2999999999999998"/>
    <n v="8.1000000000000003E-2"/>
    <n v="16"/>
    <n v="36"/>
    <n v="0.99563999999999997"/>
    <n v="3.38"/>
    <n v="0.6"/>
    <n v="10.3"/>
    <n v="6"/>
    <x v="0"/>
  </r>
  <r>
    <n v="7.2"/>
    <n v="0.56999999999999995"/>
    <n v="0.05"/>
    <n v="2.2999999999999998"/>
    <n v="8.1000000000000003E-2"/>
    <n v="16"/>
    <n v="36"/>
    <n v="0.99563999999999997"/>
    <n v="3.38"/>
    <n v="0.6"/>
    <n v="10.3"/>
    <n v="6"/>
    <x v="0"/>
  </r>
  <r>
    <n v="10.4"/>
    <n v="0.43"/>
    <n v="0.5"/>
    <n v="2.2999999999999998"/>
    <n v="6.8000000000000005E-2"/>
    <n v="13"/>
    <n v="19"/>
    <n v="0.996"/>
    <n v="3.1"/>
    <n v="0.87"/>
    <n v="11.4"/>
    <n v="6"/>
    <x v="0"/>
  </r>
  <r>
    <n v="6.9"/>
    <n v="0.41"/>
    <n v="0.31"/>
    <n v="2"/>
    <n v="7.9000000000000001E-2"/>
    <n v="21"/>
    <n v="51"/>
    <n v="0.99668000000000001"/>
    <n v="3.47"/>
    <n v="0.55000000000000004"/>
    <n v="9.5"/>
    <n v="6"/>
    <x v="0"/>
  </r>
  <r>
    <n v="5.5"/>
    <n v="0.49"/>
    <n v="0.03"/>
    <n v="1.8"/>
    <n v="4.3999999999999997E-2"/>
    <n v="28"/>
    <n v="87"/>
    <n v="0.99080000000000001"/>
    <n v="3.5"/>
    <n v="0.82"/>
    <n v="14"/>
    <n v="8"/>
    <x v="1"/>
  </r>
  <r>
    <n v="5"/>
    <n v="0.38"/>
    <n v="0.01"/>
    <n v="1.6"/>
    <n v="4.8000000000000001E-2"/>
    <n v="26"/>
    <n v="60"/>
    <n v="0.99084000000000005"/>
    <n v="3.7"/>
    <n v="0.75"/>
    <n v="14"/>
    <n v="6"/>
    <x v="0"/>
  </r>
  <r>
    <n v="7.3"/>
    <n v="0.44"/>
    <n v="0.2"/>
    <n v="1.6"/>
    <n v="4.9000000000000002E-2"/>
    <n v="24"/>
    <n v="64"/>
    <n v="0.99350000000000005"/>
    <n v="3.38"/>
    <n v="0.56999999999999995"/>
    <n v="11.7"/>
    <n v="6"/>
    <x v="0"/>
  </r>
  <r>
    <n v="5.9"/>
    <n v="0.46"/>
    <n v="0"/>
    <n v="1.9"/>
    <n v="7.6999999999999999E-2"/>
    <n v="25"/>
    <n v="44"/>
    <n v="0.99385000000000001"/>
    <n v="3.5"/>
    <n v="0.53"/>
    <n v="11.2"/>
    <n v="5"/>
    <x v="0"/>
  </r>
  <r>
    <n v="7.5"/>
    <n v="0.57999999999999996"/>
    <n v="0.2"/>
    <n v="2"/>
    <n v="7.2999999999999995E-2"/>
    <n v="34"/>
    <n v="44"/>
    <n v="0.99494000000000005"/>
    <n v="3.1"/>
    <n v="0.43"/>
    <n v="9.3000000000000007"/>
    <n v="5"/>
    <x v="0"/>
  </r>
  <r>
    <n v="7.8"/>
    <n v="0.57999999999999996"/>
    <n v="0.13"/>
    <n v="2.1"/>
    <n v="0.10199999999999999"/>
    <n v="17"/>
    <n v="36"/>
    <n v="0.99439999999999995"/>
    <n v="3.24"/>
    <n v="0.53"/>
    <n v="11.2"/>
    <n v="6"/>
    <x v="0"/>
  </r>
  <r>
    <n v="8"/>
    <n v="0.71499999999999997"/>
    <n v="0.22"/>
    <n v="2.2999999999999998"/>
    <n v="7.4999999999999997E-2"/>
    <n v="13"/>
    <n v="81"/>
    <n v="0.99687999999999999"/>
    <n v="3.24"/>
    <n v="0.54"/>
    <n v="9.5"/>
    <n v="6"/>
    <x v="0"/>
  </r>
  <r>
    <n v="8.5"/>
    <n v="0.4"/>
    <n v="0.4"/>
    <n v="6.3"/>
    <n v="0.05"/>
    <n v="3"/>
    <n v="10"/>
    <n v="0.99565999999999999"/>
    <n v="3.28"/>
    <n v="0.56000000000000005"/>
    <n v="12"/>
    <n v="4"/>
    <x v="2"/>
  </r>
  <r>
    <n v="7"/>
    <n v="0.69"/>
    <n v="0"/>
    <n v="1.9"/>
    <n v="0.114"/>
    <n v="3"/>
    <n v="10"/>
    <n v="0.99636000000000002"/>
    <n v="3.35"/>
    <n v="0.6"/>
    <n v="9.6999999999999993"/>
    <n v="6"/>
    <x v="0"/>
  </r>
  <r>
    <n v="8"/>
    <n v="0.71499999999999997"/>
    <n v="0.22"/>
    <n v="2.2999999999999998"/>
    <n v="7.4999999999999997E-2"/>
    <n v="13"/>
    <n v="81"/>
    <n v="0.99687999999999999"/>
    <n v="3.24"/>
    <n v="0.54"/>
    <n v="9.5"/>
    <n v="6"/>
    <x v="0"/>
  </r>
  <r>
    <n v="9.8000000000000007"/>
    <n v="0.3"/>
    <n v="0.39"/>
    <n v="1.7"/>
    <n v="6.2E-2"/>
    <n v="3"/>
    <n v="9"/>
    <n v="0.99480000000000002"/>
    <n v="3.14"/>
    <n v="0.56999999999999995"/>
    <n v="11.5"/>
    <n v="7"/>
    <x v="1"/>
  </r>
  <r>
    <n v="7.1"/>
    <n v="0.46"/>
    <n v="0.2"/>
    <n v="1.9"/>
    <n v="7.6999999999999999E-2"/>
    <n v="28"/>
    <n v="54"/>
    <n v="0.99560000000000004"/>
    <n v="3.37"/>
    <n v="0.64"/>
    <n v="10.4"/>
    <n v="6"/>
    <x v="0"/>
  </r>
  <r>
    <n v="7.1"/>
    <n v="0.46"/>
    <n v="0.2"/>
    <n v="1.9"/>
    <n v="7.6999999999999999E-2"/>
    <n v="28"/>
    <n v="54"/>
    <n v="0.99560000000000004"/>
    <n v="3.37"/>
    <n v="0.64"/>
    <n v="10.4"/>
    <n v="6"/>
    <x v="0"/>
  </r>
  <r>
    <n v="7.9"/>
    <n v="0.76500000000000001"/>
    <n v="0"/>
    <n v="2"/>
    <n v="8.4000000000000005E-2"/>
    <n v="9"/>
    <n v="22"/>
    <n v="0.99619000000000002"/>
    <n v="3.33"/>
    <n v="0.68"/>
    <n v="10.9"/>
    <n v="6"/>
    <x v="0"/>
  </r>
  <r>
    <n v="8.6999999999999993"/>
    <n v="0.63"/>
    <n v="0.28000000000000003"/>
    <n v="2.7"/>
    <n v="9.6000000000000002E-2"/>
    <n v="17"/>
    <n v="69"/>
    <n v="0.99734"/>
    <n v="3.26"/>
    <n v="0.63"/>
    <n v="10.199999999999999"/>
    <n v="6"/>
    <x v="0"/>
  </r>
  <r>
    <n v="7"/>
    <n v="0.42"/>
    <n v="0.19"/>
    <n v="2.2999999999999998"/>
    <n v="7.0999999999999994E-2"/>
    <n v="18"/>
    <n v="36"/>
    <n v="0.99475999999999998"/>
    <n v="3.39"/>
    <n v="0.56000000000000005"/>
    <n v="10.9"/>
    <n v="5"/>
    <x v="0"/>
  </r>
  <r>
    <n v="11.3"/>
    <n v="0.37"/>
    <n v="0.5"/>
    <n v="1.8"/>
    <n v="0.09"/>
    <n v="20"/>
    <n v="47"/>
    <n v="0.99734"/>
    <n v="3.15"/>
    <n v="0.56999999999999995"/>
    <n v="10.5"/>
    <n v="5"/>
    <x v="0"/>
  </r>
  <r>
    <n v="7.1"/>
    <n v="0.16"/>
    <n v="0.44"/>
    <n v="2.5"/>
    <n v="6.8000000000000005E-2"/>
    <n v="17"/>
    <n v="31"/>
    <n v="0.99328000000000005"/>
    <n v="3.35"/>
    <n v="0.54"/>
    <n v="12.4"/>
    <n v="6"/>
    <x v="0"/>
  </r>
  <r>
    <n v="8"/>
    <n v="0.6"/>
    <n v="0.08"/>
    <n v="2.6"/>
    <n v="5.6000000000000001E-2"/>
    <n v="3"/>
    <n v="7"/>
    <n v="0.99285999999999996"/>
    <n v="3.22"/>
    <n v="0.37"/>
    <n v="13"/>
    <n v="5"/>
    <x v="0"/>
  </r>
  <r>
    <n v="7"/>
    <n v="0.6"/>
    <n v="0.3"/>
    <n v="4.5"/>
    <n v="6.8000000000000005E-2"/>
    <n v="20"/>
    <n v="110"/>
    <n v="0.99914000000000003"/>
    <n v="3.3"/>
    <n v="1.17"/>
    <n v="10.199999999999999"/>
    <n v="5"/>
    <x v="0"/>
  </r>
  <r>
    <n v="7"/>
    <n v="0.6"/>
    <n v="0.3"/>
    <n v="4.5"/>
    <n v="6.8000000000000005E-2"/>
    <n v="20"/>
    <n v="110"/>
    <n v="0.99914000000000003"/>
    <n v="3.3"/>
    <n v="1.17"/>
    <n v="10.199999999999999"/>
    <n v="5"/>
    <x v="0"/>
  </r>
  <r>
    <n v="7.6"/>
    <n v="0.74"/>
    <n v="0"/>
    <n v="1.9"/>
    <n v="0.1"/>
    <n v="6"/>
    <n v="12"/>
    <n v="0.99521000000000004"/>
    <n v="3.36"/>
    <n v="0.59"/>
    <n v="11"/>
    <n v="5"/>
    <x v="0"/>
  </r>
  <r>
    <n v="8.1999999999999993"/>
    <n v="0.63500000000000001"/>
    <n v="0.1"/>
    <n v="2.1"/>
    <n v="7.2999999999999995E-2"/>
    <n v="25"/>
    <n v="60"/>
    <n v="0.99638000000000004"/>
    <n v="3.29"/>
    <n v="0.75"/>
    <n v="10.9"/>
    <n v="6"/>
    <x v="0"/>
  </r>
  <r>
    <n v="5.9"/>
    <n v="0.39500000000000002"/>
    <n v="0.13"/>
    <n v="2.4"/>
    <n v="5.6000000000000001E-2"/>
    <n v="14"/>
    <n v="28"/>
    <n v="0.99361999999999995"/>
    <n v="3.62"/>
    <n v="0.67"/>
    <n v="12.4"/>
    <n v="6"/>
    <x v="0"/>
  </r>
  <r>
    <n v="7.5"/>
    <n v="0.755"/>
    <n v="0"/>
    <n v="1.9"/>
    <n v="8.4000000000000005E-2"/>
    <n v="6"/>
    <n v="12"/>
    <n v="0.99672000000000005"/>
    <n v="3.34"/>
    <n v="0.49"/>
    <n v="9.6999999999999993"/>
    <n v="4"/>
    <x v="2"/>
  </r>
  <r>
    <n v="8.1999999999999993"/>
    <n v="0.63500000000000001"/>
    <n v="0.1"/>
    <n v="2.1"/>
    <n v="7.2999999999999995E-2"/>
    <n v="25"/>
    <n v="60"/>
    <n v="0.99638000000000004"/>
    <n v="3.29"/>
    <n v="0.75"/>
    <n v="10.9"/>
    <n v="6"/>
    <x v="0"/>
  </r>
  <r>
    <n v="6.6"/>
    <n v="0.63"/>
    <n v="0"/>
    <n v="4.3"/>
    <n v="9.2999999999999999E-2"/>
    <n v="51"/>
    <n v="77.5"/>
    <n v="0.99558000000000002"/>
    <n v="3.2"/>
    <n v="0.45"/>
    <n v="9.5"/>
    <n v="5"/>
    <x v="0"/>
  </r>
  <r>
    <n v="6.6"/>
    <n v="0.63"/>
    <n v="0"/>
    <n v="4.3"/>
    <n v="9.2999999999999999E-2"/>
    <n v="51"/>
    <n v="77.5"/>
    <n v="0.99558000000000002"/>
    <n v="3.2"/>
    <n v="0.45"/>
    <n v="9.5"/>
    <n v="5"/>
    <x v="0"/>
  </r>
  <r>
    <n v="7.2"/>
    <n v="0.53"/>
    <n v="0.14000000000000001"/>
    <n v="2.1"/>
    <n v="6.4000000000000001E-2"/>
    <n v="15"/>
    <n v="29"/>
    <n v="0.99322999999999995"/>
    <n v="3.35"/>
    <n v="0.61"/>
    <n v="12.1"/>
    <n v="6"/>
    <x v="0"/>
  </r>
  <r>
    <n v="5.7"/>
    <n v="0.6"/>
    <n v="0"/>
    <n v="1.4"/>
    <n v="6.3E-2"/>
    <n v="11"/>
    <n v="18"/>
    <n v="0.99190999999999996"/>
    <n v="3.45"/>
    <n v="0.56000000000000005"/>
    <n v="12.2"/>
    <n v="6"/>
    <x v="0"/>
  </r>
  <r>
    <n v="7.6"/>
    <n v="1.58"/>
    <n v="0"/>
    <n v="2.1"/>
    <n v="0.13700000000000001"/>
    <n v="5"/>
    <n v="9"/>
    <n v="0.99475999999999998"/>
    <n v="3.5"/>
    <n v="0.4"/>
    <n v="10.9"/>
    <n v="3"/>
    <x v="2"/>
  </r>
  <r>
    <n v="5.2"/>
    <n v="0.64500000000000002"/>
    <n v="0"/>
    <n v="2.15"/>
    <n v="0.08"/>
    <n v="15"/>
    <n v="28"/>
    <n v="0.99443999999999999"/>
    <n v="3.78"/>
    <n v="0.61"/>
    <n v="12.5"/>
    <n v="6"/>
    <x v="0"/>
  </r>
  <r>
    <n v="6.7"/>
    <n v="0.86"/>
    <n v="7.0000000000000007E-2"/>
    <n v="2"/>
    <n v="0.1"/>
    <n v="20"/>
    <n v="57"/>
    <n v="0.99597999999999998"/>
    <n v="3.6"/>
    <n v="0.74"/>
    <n v="11.7"/>
    <n v="6"/>
    <x v="0"/>
  </r>
  <r>
    <n v="9.1"/>
    <n v="0.37"/>
    <n v="0.32"/>
    <n v="2.1"/>
    <n v="6.4000000000000001E-2"/>
    <n v="4"/>
    <n v="15"/>
    <n v="0.99575999999999998"/>
    <n v="3.3"/>
    <n v="0.8"/>
    <n v="11.2"/>
    <n v="6"/>
    <x v="0"/>
  </r>
  <r>
    <n v="8"/>
    <n v="0.28000000000000003"/>
    <n v="0.44"/>
    <n v="1.8"/>
    <n v="8.1000000000000003E-2"/>
    <n v="28"/>
    <n v="68"/>
    <n v="0.99500999999999995"/>
    <n v="3.36"/>
    <n v="0.66"/>
    <n v="11.2"/>
    <n v="5"/>
    <x v="0"/>
  </r>
  <r>
    <n v="7.6"/>
    <n v="0.79"/>
    <n v="0.21"/>
    <n v="2.2999999999999998"/>
    <n v="8.6999999999999994E-2"/>
    <n v="21"/>
    <n v="68"/>
    <n v="0.99550000000000005"/>
    <n v="3.12"/>
    <n v="0.44"/>
    <n v="9.1999999999999993"/>
    <n v="5"/>
    <x v="0"/>
  </r>
  <r>
    <n v="7.5"/>
    <n v="0.61"/>
    <n v="0.26"/>
    <n v="1.9"/>
    <n v="7.2999999999999995E-2"/>
    <n v="24"/>
    <n v="88"/>
    <n v="0.99612000000000001"/>
    <n v="3.3"/>
    <n v="0.53"/>
    <n v="9.8000000000000007"/>
    <n v="5"/>
    <x v="0"/>
  </r>
  <r>
    <n v="9.6999999999999993"/>
    <n v="0.69"/>
    <n v="0.32"/>
    <n v="2.5"/>
    <n v="8.7999999999999995E-2"/>
    <n v="22"/>
    <n v="91"/>
    <n v="0.99790000000000001"/>
    <n v="3.29"/>
    <n v="0.62"/>
    <n v="10.1"/>
    <n v="5"/>
    <x v="0"/>
  </r>
  <r>
    <n v="6.8"/>
    <n v="0.68"/>
    <n v="0.09"/>
    <n v="3.9"/>
    <n v="6.8000000000000005E-2"/>
    <n v="15"/>
    <n v="29"/>
    <n v="0.99524000000000001"/>
    <n v="3.41"/>
    <n v="0.52"/>
    <n v="11.1"/>
    <n v="4"/>
    <x v="2"/>
  </r>
  <r>
    <n v="9.6999999999999993"/>
    <n v="0.69"/>
    <n v="0.32"/>
    <n v="2.5"/>
    <n v="8.7999999999999995E-2"/>
    <n v="22"/>
    <n v="91"/>
    <n v="0.99790000000000001"/>
    <n v="3.29"/>
    <n v="0.62"/>
    <n v="10.1"/>
    <n v="5"/>
    <x v="0"/>
  </r>
  <r>
    <n v="7"/>
    <n v="0.62"/>
    <n v="0.1"/>
    <n v="1.4"/>
    <n v="7.0999999999999994E-2"/>
    <n v="27"/>
    <n v="63"/>
    <n v="0.996"/>
    <n v="3.28"/>
    <n v="0.61"/>
    <n v="9.1999999999999993"/>
    <n v="5"/>
    <x v="0"/>
  </r>
  <r>
    <n v="7.5"/>
    <n v="0.61"/>
    <n v="0.26"/>
    <n v="1.9"/>
    <n v="7.2999999999999995E-2"/>
    <n v="24"/>
    <n v="88"/>
    <n v="0.99612000000000001"/>
    <n v="3.3"/>
    <n v="0.53"/>
    <n v="9.8000000000000007"/>
    <n v="5"/>
    <x v="0"/>
  </r>
  <r>
    <n v="6.5"/>
    <n v="0.51"/>
    <n v="0.15"/>
    <n v="3"/>
    <n v="6.4000000000000001E-2"/>
    <n v="12"/>
    <n v="27"/>
    <n v="0.9929"/>
    <n v="3.33"/>
    <n v="0.59"/>
    <n v="12.8"/>
    <n v="6"/>
    <x v="0"/>
  </r>
  <r>
    <n v="8"/>
    <n v="1.18"/>
    <n v="0.21"/>
    <n v="1.9"/>
    <n v="8.3000000000000004E-2"/>
    <n v="14"/>
    <n v="41"/>
    <n v="0.99531999999999998"/>
    <n v="3.34"/>
    <n v="0.47"/>
    <n v="10.5"/>
    <n v="5"/>
    <x v="0"/>
  </r>
  <r>
    <n v="7"/>
    <n v="0.36"/>
    <n v="0.21"/>
    <n v="2.2999999999999998"/>
    <n v="8.5999999999999993E-2"/>
    <n v="20"/>
    <n v="65"/>
    <n v="0.99558000000000002"/>
    <n v="3.4"/>
    <n v="0.54"/>
    <n v="10.1"/>
    <n v="6"/>
    <x v="0"/>
  </r>
  <r>
    <n v="7"/>
    <n v="0.36"/>
    <n v="0.21"/>
    <n v="2.4"/>
    <n v="8.5999999999999993E-2"/>
    <n v="24"/>
    <n v="69"/>
    <n v="0.99556"/>
    <n v="3.4"/>
    <n v="0.53"/>
    <n v="10.1"/>
    <n v="6"/>
    <x v="0"/>
  </r>
  <r>
    <n v="7.5"/>
    <n v="0.63"/>
    <n v="0.27"/>
    <n v="2"/>
    <n v="8.3000000000000004E-2"/>
    <n v="17"/>
    <n v="91"/>
    <n v="0.99616000000000005"/>
    <n v="3.26"/>
    <n v="0.57999999999999996"/>
    <n v="9.8000000000000007"/>
    <n v="6"/>
    <x v="0"/>
  </r>
  <r>
    <n v="5.4"/>
    <n v="0.74"/>
    <n v="0"/>
    <n v="1.2"/>
    <n v="4.1000000000000002E-2"/>
    <n v="16"/>
    <n v="46"/>
    <n v="0.99258000000000002"/>
    <n v="4.01"/>
    <n v="0.59"/>
    <n v="12.5"/>
    <n v="6"/>
    <x v="0"/>
  </r>
  <r>
    <n v="9.9"/>
    <n v="0.44"/>
    <n v="0.46"/>
    <n v="2.2000000000000002"/>
    <n v="9.0999999999999998E-2"/>
    <n v="10"/>
    <n v="41"/>
    <n v="0.99638000000000004"/>
    <n v="3.18"/>
    <n v="0.69"/>
    <n v="11.9"/>
    <n v="6"/>
    <x v="0"/>
  </r>
  <r>
    <n v="7.5"/>
    <n v="0.63"/>
    <n v="0.27"/>
    <n v="2"/>
    <n v="8.3000000000000004E-2"/>
    <n v="17"/>
    <n v="91"/>
    <n v="0.99616000000000005"/>
    <n v="3.26"/>
    <n v="0.57999999999999996"/>
    <n v="9.8000000000000007"/>
    <n v="6"/>
    <x v="0"/>
  </r>
  <r>
    <n v="9.1"/>
    <n v="0.76"/>
    <n v="0.68"/>
    <n v="1.7"/>
    <n v="0.41399999999999998"/>
    <n v="18"/>
    <n v="64"/>
    <n v="0.99651999999999996"/>
    <n v="2.9"/>
    <n v="1.33"/>
    <n v="9.1"/>
    <n v="6"/>
    <x v="0"/>
  </r>
  <r>
    <n v="9.6999999999999993"/>
    <n v="0.66"/>
    <n v="0.34"/>
    <n v="2.6"/>
    <n v="9.4E-2"/>
    <n v="12"/>
    <n v="88"/>
    <n v="0.99795999999999996"/>
    <n v="3.26"/>
    <n v="0.66"/>
    <n v="10.1"/>
    <n v="5"/>
    <x v="0"/>
  </r>
  <r>
    <n v="5"/>
    <n v="0.74"/>
    <n v="0"/>
    <n v="1.2"/>
    <n v="4.1000000000000002E-2"/>
    <n v="16"/>
    <n v="46"/>
    <n v="0.99258000000000002"/>
    <n v="4.01"/>
    <n v="0.59"/>
    <n v="12.5"/>
    <n v="6"/>
    <x v="0"/>
  </r>
  <r>
    <n v="9.1"/>
    <n v="0.34"/>
    <n v="0.42"/>
    <n v="1.8"/>
    <n v="5.8000000000000003E-2"/>
    <n v="9"/>
    <n v="18"/>
    <n v="0.99392000000000003"/>
    <n v="3.18"/>
    <n v="0.55000000000000004"/>
    <n v="11.4"/>
    <n v="5"/>
    <x v="0"/>
  </r>
  <r>
    <n v="9.1"/>
    <n v="0.36"/>
    <n v="0.39"/>
    <n v="1.8"/>
    <n v="0.06"/>
    <n v="21"/>
    <n v="55"/>
    <n v="0.99495"/>
    <n v="3.18"/>
    <n v="0.82"/>
    <n v="11"/>
    <n v="7"/>
    <x v="1"/>
  </r>
  <r>
    <n v="6.7"/>
    <n v="0.46"/>
    <n v="0.24"/>
    <n v="1.7"/>
    <n v="7.6999999999999999E-2"/>
    <n v="18"/>
    <n v="34"/>
    <n v="0.99480000000000002"/>
    <n v="3.39"/>
    <n v="0.6"/>
    <n v="10.6"/>
    <n v="6"/>
    <x v="0"/>
  </r>
  <r>
    <n v="6.7"/>
    <n v="0.46"/>
    <n v="0.24"/>
    <n v="1.7"/>
    <n v="7.6999999999999999E-2"/>
    <n v="18"/>
    <n v="34"/>
    <n v="0.99480000000000002"/>
    <n v="3.39"/>
    <n v="0.6"/>
    <n v="10.6"/>
    <n v="6"/>
    <x v="0"/>
  </r>
  <r>
    <n v="6.7"/>
    <n v="0.46"/>
    <n v="0.24"/>
    <n v="1.7"/>
    <n v="7.6999999999999999E-2"/>
    <n v="18"/>
    <n v="34"/>
    <n v="0.99480000000000002"/>
    <n v="3.39"/>
    <n v="0.6"/>
    <n v="10.6"/>
    <n v="6"/>
    <x v="0"/>
  </r>
  <r>
    <n v="6.7"/>
    <n v="0.46"/>
    <n v="0.24"/>
    <n v="1.7"/>
    <n v="7.6999999999999999E-2"/>
    <n v="18"/>
    <n v="34"/>
    <n v="0.99480000000000002"/>
    <n v="3.39"/>
    <n v="0.6"/>
    <n v="10.6"/>
    <n v="6"/>
    <x v="0"/>
  </r>
  <r>
    <n v="6.5"/>
    <n v="0.52"/>
    <n v="0.11"/>
    <n v="1.8"/>
    <n v="7.2999999999999995E-2"/>
    <n v="13"/>
    <n v="38"/>
    <n v="0.99550000000000005"/>
    <n v="3.34"/>
    <n v="0.52"/>
    <n v="9.3000000000000007"/>
    <n v="5"/>
    <x v="0"/>
  </r>
  <r>
    <n v="7.4"/>
    <n v="0.6"/>
    <n v="0.26"/>
    <n v="2.1"/>
    <n v="8.3000000000000004E-2"/>
    <n v="17"/>
    <n v="91"/>
    <n v="0.99616000000000005"/>
    <n v="3.29"/>
    <n v="0.56000000000000005"/>
    <n v="9.8000000000000007"/>
    <n v="6"/>
    <x v="0"/>
  </r>
  <r>
    <n v="7.4"/>
    <n v="0.6"/>
    <n v="0.26"/>
    <n v="2.1"/>
    <n v="8.3000000000000004E-2"/>
    <n v="17"/>
    <n v="91"/>
    <n v="0.99616000000000005"/>
    <n v="3.29"/>
    <n v="0.56000000000000005"/>
    <n v="9.8000000000000007"/>
    <n v="6"/>
    <x v="0"/>
  </r>
  <r>
    <n v="7.8"/>
    <n v="0.87"/>
    <n v="0.26"/>
    <n v="3.8"/>
    <n v="0.107"/>
    <n v="31"/>
    <n v="67"/>
    <n v="0.99668000000000001"/>
    <n v="3.26"/>
    <n v="0.46"/>
    <n v="9.1999999999999993"/>
    <n v="5"/>
    <x v="0"/>
  </r>
  <r>
    <n v="8.4"/>
    <n v="0.39"/>
    <n v="0.1"/>
    <n v="1.7"/>
    <n v="7.4999999999999997E-2"/>
    <n v="6"/>
    <n v="25"/>
    <n v="0.99580999999999997"/>
    <n v="3.09"/>
    <n v="0.43"/>
    <n v="9.6999999999999993"/>
    <n v="6"/>
    <x v="0"/>
  </r>
  <r>
    <n v="9.1"/>
    <n v="0.77500000000000002"/>
    <n v="0.22"/>
    <n v="2.2000000000000002"/>
    <n v="7.9000000000000001E-2"/>
    <n v="12"/>
    <n v="48"/>
    <n v="0.99760000000000004"/>
    <n v="3.18"/>
    <n v="0.51"/>
    <n v="9.6"/>
    <n v="5"/>
    <x v="0"/>
  </r>
  <r>
    <n v="7.2"/>
    <n v="0.83499999999999996"/>
    <n v="0"/>
    <n v="2"/>
    <n v="0.16600000000000001"/>
    <n v="4"/>
    <n v="11"/>
    <n v="0.99607999999999997"/>
    <n v="3.39"/>
    <n v="0.52"/>
    <n v="10"/>
    <n v="5"/>
    <x v="0"/>
  </r>
  <r>
    <n v="6.6"/>
    <n v="0.57999999999999996"/>
    <n v="0.02"/>
    <n v="2.4"/>
    <n v="6.9000000000000006E-2"/>
    <n v="19"/>
    <n v="40"/>
    <n v="0.99387000000000003"/>
    <n v="3.38"/>
    <n v="0.66"/>
    <n v="12.6"/>
    <n v="6"/>
    <x v="0"/>
  </r>
  <r>
    <n v="6"/>
    <n v="0.5"/>
    <n v="0"/>
    <n v="1.4"/>
    <n v="5.7000000000000002E-2"/>
    <n v="15"/>
    <n v="26"/>
    <n v="0.99448000000000003"/>
    <n v="3.36"/>
    <n v="0.45"/>
    <n v="9.5"/>
    <n v="5"/>
    <x v="0"/>
  </r>
  <r>
    <n v="6"/>
    <n v="0.5"/>
    <n v="0"/>
    <n v="1.4"/>
    <n v="5.7000000000000002E-2"/>
    <n v="15"/>
    <n v="26"/>
    <n v="0.99448000000000003"/>
    <n v="3.36"/>
    <n v="0.45"/>
    <n v="9.5"/>
    <n v="5"/>
    <x v="0"/>
  </r>
  <r>
    <n v="6"/>
    <n v="0.5"/>
    <n v="0"/>
    <n v="1.4"/>
    <n v="5.7000000000000002E-2"/>
    <n v="15"/>
    <n v="26"/>
    <n v="0.99448000000000003"/>
    <n v="3.36"/>
    <n v="0.45"/>
    <n v="9.5"/>
    <n v="5"/>
    <x v="0"/>
  </r>
  <r>
    <n v="7.5"/>
    <n v="0.51"/>
    <n v="0.02"/>
    <n v="1.7"/>
    <n v="8.4000000000000005E-2"/>
    <n v="13"/>
    <n v="31"/>
    <n v="0.99538000000000004"/>
    <n v="3.36"/>
    <n v="0.54"/>
    <n v="10.5"/>
    <n v="6"/>
    <x v="0"/>
  </r>
  <r>
    <n v="7.5"/>
    <n v="0.51"/>
    <n v="0.02"/>
    <n v="1.7"/>
    <n v="8.4000000000000005E-2"/>
    <n v="13"/>
    <n v="31"/>
    <n v="0.99538000000000004"/>
    <n v="3.36"/>
    <n v="0.54"/>
    <n v="10.5"/>
    <n v="6"/>
    <x v="0"/>
  </r>
  <r>
    <n v="7.5"/>
    <n v="0.51"/>
    <n v="0.02"/>
    <n v="1.7"/>
    <n v="8.4000000000000005E-2"/>
    <n v="13"/>
    <n v="31"/>
    <n v="0.99538000000000004"/>
    <n v="3.36"/>
    <n v="0.54"/>
    <n v="10.5"/>
    <n v="6"/>
    <x v="0"/>
  </r>
  <r>
    <n v="7.6"/>
    <n v="0.54"/>
    <n v="0.02"/>
    <n v="1.7"/>
    <n v="8.5000000000000006E-2"/>
    <n v="17"/>
    <n v="31"/>
    <n v="0.99589000000000005"/>
    <n v="3.37"/>
    <n v="0.51"/>
    <n v="10.4"/>
    <n v="6"/>
    <x v="0"/>
  </r>
  <r>
    <n v="7.5"/>
    <n v="0.51"/>
    <n v="0.02"/>
    <n v="1.7"/>
    <n v="8.4000000000000005E-2"/>
    <n v="13"/>
    <n v="31"/>
    <n v="0.99538000000000004"/>
    <n v="3.36"/>
    <n v="0.54"/>
    <n v="10.5"/>
    <n v="6"/>
    <x v="0"/>
  </r>
  <r>
    <n v="11.5"/>
    <n v="0.42"/>
    <n v="0.48"/>
    <n v="2.6"/>
    <n v="7.6999999999999999E-2"/>
    <n v="8"/>
    <n v="20"/>
    <n v="0.99851999999999996"/>
    <n v="3.09"/>
    <n v="0.53"/>
    <n v="11"/>
    <n v="5"/>
    <x v="0"/>
  </r>
  <r>
    <n v="8.1999999999999993"/>
    <n v="0.44"/>
    <n v="0.24"/>
    <n v="2.2999999999999998"/>
    <n v="6.3E-2"/>
    <n v="10"/>
    <n v="28"/>
    <n v="0.99612999999999996"/>
    <n v="3.25"/>
    <n v="0.53"/>
    <n v="10.199999999999999"/>
    <n v="6"/>
    <x v="0"/>
  </r>
  <r>
    <n v="6.1"/>
    <n v="0.59"/>
    <n v="0.01"/>
    <n v="2.1"/>
    <n v="5.6000000000000001E-2"/>
    <n v="5"/>
    <n v="13"/>
    <n v="0.99472000000000005"/>
    <n v="3.52"/>
    <n v="0.56000000000000005"/>
    <n v="11.4"/>
    <n v="5"/>
    <x v="0"/>
  </r>
  <r>
    <n v="7.2"/>
    <n v="0.65500000000000003"/>
    <n v="0.03"/>
    <n v="1.8"/>
    <n v="7.8E-2"/>
    <n v="7"/>
    <n v="12"/>
    <n v="0.99587000000000003"/>
    <n v="3.34"/>
    <n v="0.39"/>
    <n v="9.5"/>
    <n v="5"/>
    <x v="0"/>
  </r>
  <r>
    <n v="7.2"/>
    <n v="0.65500000000000003"/>
    <n v="0.03"/>
    <n v="1.8"/>
    <n v="7.8E-2"/>
    <n v="7"/>
    <n v="12"/>
    <n v="0.99587000000000003"/>
    <n v="3.34"/>
    <n v="0.39"/>
    <n v="9.5"/>
    <n v="5"/>
    <x v="0"/>
  </r>
  <r>
    <n v="6.9"/>
    <n v="0.56999999999999995"/>
    <n v="0"/>
    <n v="2.8"/>
    <n v="8.1000000000000003E-2"/>
    <n v="21"/>
    <n v="41"/>
    <n v="0.99517999999999995"/>
    <n v="3.41"/>
    <n v="0.52"/>
    <n v="10.8"/>
    <n v="5"/>
    <x v="0"/>
  </r>
  <r>
    <n v="9"/>
    <n v="0.6"/>
    <n v="0.28999999999999998"/>
    <n v="2"/>
    <n v="6.9000000000000006E-2"/>
    <n v="32"/>
    <n v="73"/>
    <n v="0.99653999999999998"/>
    <n v="3.34"/>
    <n v="0.56999999999999995"/>
    <n v="10"/>
    <n v="5"/>
    <x v="0"/>
  </r>
  <r>
    <n v="7.2"/>
    <n v="0.62"/>
    <n v="0.01"/>
    <n v="2.2999999999999998"/>
    <n v="6.5000000000000002E-2"/>
    <n v="8"/>
    <n v="46"/>
    <n v="0.99331999999999998"/>
    <n v="3.32"/>
    <n v="0.51"/>
    <n v="11.8"/>
    <n v="6"/>
    <x v="0"/>
  </r>
  <r>
    <n v="7.6"/>
    <n v="0.64500000000000002"/>
    <n v="0.03"/>
    <n v="1.9"/>
    <n v="8.5999999999999993E-2"/>
    <n v="14"/>
    <n v="57"/>
    <n v="0.99690000000000001"/>
    <n v="3.37"/>
    <n v="0.46"/>
    <n v="10.3"/>
    <n v="5"/>
    <x v="0"/>
  </r>
  <r>
    <n v="7.6"/>
    <n v="0.64500000000000002"/>
    <n v="0.03"/>
    <n v="1.9"/>
    <n v="8.5999999999999993E-2"/>
    <n v="14"/>
    <n v="57"/>
    <n v="0.99690000000000001"/>
    <n v="3.37"/>
    <n v="0.46"/>
    <n v="10.3"/>
    <n v="5"/>
    <x v="0"/>
  </r>
  <r>
    <n v="7.2"/>
    <n v="0.57999999999999996"/>
    <n v="0.03"/>
    <n v="2.2999999999999998"/>
    <n v="7.6999999999999999E-2"/>
    <n v="7"/>
    <n v="28"/>
    <n v="0.99568000000000001"/>
    <n v="3.35"/>
    <n v="0.52"/>
    <n v="10"/>
    <n v="5"/>
    <x v="0"/>
  </r>
  <r>
    <n v="6.1"/>
    <n v="0.32"/>
    <n v="0.25"/>
    <n v="1.8"/>
    <n v="8.5999999999999993E-2"/>
    <n v="5"/>
    <n v="32"/>
    <n v="0.99463999999999997"/>
    <n v="3.36"/>
    <n v="0.44"/>
    <n v="10.1"/>
    <n v="5"/>
    <x v="0"/>
  </r>
  <r>
    <n v="6.1"/>
    <n v="0.34"/>
    <n v="0.25"/>
    <n v="1.8"/>
    <n v="8.4000000000000005E-2"/>
    <n v="4"/>
    <n v="28"/>
    <n v="0.99463999999999997"/>
    <n v="3.36"/>
    <n v="0.44"/>
    <n v="10.1"/>
    <n v="5"/>
    <x v="0"/>
  </r>
  <r>
    <n v="7.3"/>
    <n v="0.43"/>
    <n v="0.24"/>
    <n v="2.5"/>
    <n v="7.8E-2"/>
    <n v="27"/>
    <n v="67"/>
    <n v="0.99648000000000003"/>
    <n v="3.6"/>
    <n v="0.59"/>
    <n v="11.1"/>
    <n v="6"/>
    <x v="0"/>
  </r>
  <r>
    <n v="7.4"/>
    <n v="0.64"/>
    <n v="0.17"/>
    <n v="5.4"/>
    <n v="0.16800000000000001"/>
    <n v="52"/>
    <n v="98"/>
    <n v="0.99736000000000002"/>
    <n v="3.28"/>
    <n v="0.5"/>
    <n v="9.5"/>
    <n v="5"/>
    <x v="0"/>
  </r>
  <r>
    <n v="11.6"/>
    <n v="0.47499999999999998"/>
    <n v="0.4"/>
    <n v="1.4"/>
    <n v="9.0999999999999998E-2"/>
    <n v="6"/>
    <n v="28"/>
    <n v="0.99704000000000004"/>
    <n v="3.07"/>
    <n v="0.65"/>
    <n v="10.033333333333299"/>
    <n v="6"/>
    <x v="0"/>
  </r>
  <r>
    <n v="9.1999999999999993"/>
    <n v="0.54"/>
    <n v="0.31"/>
    <n v="2.2999999999999998"/>
    <n v="0.112"/>
    <n v="11"/>
    <n v="38"/>
    <n v="0.99699000000000004"/>
    <n v="3.24"/>
    <n v="0.56000000000000005"/>
    <n v="10.9"/>
    <n v="5"/>
    <x v="0"/>
  </r>
  <r>
    <n v="8.3000000000000007"/>
    <n v="0.85"/>
    <n v="0.14000000000000001"/>
    <n v="2.5"/>
    <n v="9.2999999999999999E-2"/>
    <n v="13"/>
    <n v="54"/>
    <n v="0.99724000000000002"/>
    <n v="3.36"/>
    <n v="0.54"/>
    <n v="10.1"/>
    <n v="5"/>
    <x v="0"/>
  </r>
  <r>
    <n v="11.6"/>
    <n v="0.47499999999999998"/>
    <n v="0.4"/>
    <n v="1.4"/>
    <n v="9.0999999999999998E-2"/>
    <n v="6"/>
    <n v="28"/>
    <n v="0.99704000000000004"/>
    <n v="3.07"/>
    <n v="0.65"/>
    <n v="10.033333333333299"/>
    <n v="6"/>
    <x v="0"/>
  </r>
  <r>
    <n v="8"/>
    <n v="0.83"/>
    <n v="0.27"/>
    <n v="2"/>
    <n v="0.08"/>
    <n v="11"/>
    <n v="63"/>
    <n v="0.99651999999999996"/>
    <n v="3.29"/>
    <n v="0.48"/>
    <n v="9.8000000000000007"/>
    <n v="4"/>
    <x v="2"/>
  </r>
  <r>
    <n v="7.2"/>
    <n v="0.60499999999999998"/>
    <n v="0.02"/>
    <n v="1.9"/>
    <n v="9.6000000000000002E-2"/>
    <n v="10"/>
    <n v="31"/>
    <n v="0.995"/>
    <n v="3.46"/>
    <n v="0.53"/>
    <n v="11.8"/>
    <n v="6"/>
    <x v="0"/>
  </r>
  <r>
    <n v="7.8"/>
    <n v="0.5"/>
    <n v="0.09"/>
    <n v="2.2000000000000002"/>
    <n v="0.115"/>
    <n v="10"/>
    <n v="42"/>
    <n v="0.99709999999999999"/>
    <n v="3.18"/>
    <n v="0.62"/>
    <n v="9.5"/>
    <n v="5"/>
    <x v="0"/>
  </r>
  <r>
    <n v="7.3"/>
    <n v="0.74"/>
    <n v="0.08"/>
    <n v="1.7"/>
    <n v="9.4E-2"/>
    <n v="10"/>
    <n v="45"/>
    <n v="0.99575999999999998"/>
    <n v="3.24"/>
    <n v="0.5"/>
    <n v="9.8000000000000007"/>
    <n v="5"/>
    <x v="0"/>
  </r>
  <r>
    <n v="6.9"/>
    <n v="0.54"/>
    <n v="0.3"/>
    <n v="2.2000000000000002"/>
    <n v="8.7999999999999995E-2"/>
    <n v="9"/>
    <n v="105"/>
    <n v="0.99724999999999997"/>
    <n v="3.25"/>
    <n v="1.18"/>
    <n v="10.5"/>
    <n v="6"/>
    <x v="0"/>
  </r>
  <r>
    <n v="8"/>
    <n v="0.77"/>
    <n v="0.32"/>
    <n v="2.1"/>
    <n v="7.9000000000000001E-2"/>
    <n v="16"/>
    <n v="74"/>
    <n v="0.99656"/>
    <n v="3.27"/>
    <n v="0.5"/>
    <n v="9.8000000000000007"/>
    <n v="6"/>
    <x v="0"/>
  </r>
  <r>
    <n v="6.6"/>
    <n v="0.61"/>
    <n v="0"/>
    <n v="1.6"/>
    <n v="6.9000000000000006E-2"/>
    <n v="4"/>
    <n v="8"/>
    <n v="0.99395999999999995"/>
    <n v="3.33"/>
    <n v="0.37"/>
    <n v="10.4"/>
    <n v="4"/>
    <x v="2"/>
  </r>
  <r>
    <n v="8.6999999999999993"/>
    <n v="0.78"/>
    <n v="0.51"/>
    <n v="1.7"/>
    <n v="0.41499999999999998"/>
    <n v="12"/>
    <n v="66"/>
    <n v="0.99622999999999995"/>
    <n v="3"/>
    <n v="1.17"/>
    <n v="9.1999999999999993"/>
    <n v="5"/>
    <x v="0"/>
  </r>
  <r>
    <n v="7.5"/>
    <n v="0.57999999999999996"/>
    <n v="0.56000000000000005"/>
    <n v="3.1"/>
    <n v="0.153"/>
    <n v="5"/>
    <n v="14"/>
    <n v="0.99475999999999998"/>
    <n v="3.21"/>
    <n v="1.03"/>
    <n v="11.6"/>
    <n v="6"/>
    <x v="0"/>
  </r>
  <r>
    <n v="8.6999999999999993"/>
    <n v="0.78"/>
    <n v="0.51"/>
    <n v="1.7"/>
    <n v="0.41499999999999998"/>
    <n v="12"/>
    <n v="66"/>
    <n v="0.99622999999999995"/>
    <n v="3"/>
    <n v="1.17"/>
    <n v="9.1999999999999993"/>
    <n v="5"/>
    <x v="0"/>
  </r>
  <r>
    <n v="7.7"/>
    <n v="0.75"/>
    <n v="0.27"/>
    <n v="3.8"/>
    <n v="0.11"/>
    <n v="34"/>
    <n v="89"/>
    <n v="0.99663999999999997"/>
    <n v="3.24"/>
    <n v="0.45"/>
    <n v="9.3000000000000007"/>
    <n v="5"/>
    <x v="0"/>
  </r>
  <r>
    <n v="6.8"/>
    <n v="0.81499999999999995"/>
    <n v="0"/>
    <n v="1.2"/>
    <n v="0.26700000000000002"/>
    <n v="16"/>
    <n v="29"/>
    <n v="0.99470999999999998"/>
    <n v="3.32"/>
    <n v="0.51"/>
    <n v="9.8000000000000007"/>
    <n v="3"/>
    <x v="2"/>
  </r>
  <r>
    <n v="7.2"/>
    <n v="0.56000000000000005"/>
    <n v="0.26"/>
    <n v="2"/>
    <n v="8.3000000000000004E-2"/>
    <n v="13"/>
    <n v="100"/>
    <n v="0.99585999999999997"/>
    <n v="3.26"/>
    <n v="0.52"/>
    <n v="9.9"/>
    <n v="5"/>
    <x v="0"/>
  </r>
  <r>
    <n v="8.1999999999999993"/>
    <n v="0.88500000000000001"/>
    <n v="0.2"/>
    <n v="1.4"/>
    <n v="8.5999999999999993E-2"/>
    <n v="7"/>
    <n v="31"/>
    <n v="0.99460000000000004"/>
    <n v="3.11"/>
    <n v="0.46"/>
    <n v="10"/>
    <n v="5"/>
    <x v="0"/>
  </r>
  <r>
    <n v="5.2"/>
    <n v="0.49"/>
    <n v="0.26"/>
    <n v="2.2999999999999998"/>
    <n v="0.09"/>
    <n v="23"/>
    <n v="74"/>
    <n v="0.99529999999999996"/>
    <n v="3.71"/>
    <n v="0.62"/>
    <n v="12.2"/>
    <n v="6"/>
    <x v="0"/>
  </r>
  <r>
    <n v="7.2"/>
    <n v="0.45"/>
    <n v="0.15"/>
    <n v="2"/>
    <n v="7.8E-2"/>
    <n v="10"/>
    <n v="28"/>
    <n v="0.99609000000000003"/>
    <n v="3.29"/>
    <n v="0.51"/>
    <n v="9.9"/>
    <n v="6"/>
    <x v="0"/>
  </r>
  <r>
    <n v="7.5"/>
    <n v="0.56999999999999995"/>
    <n v="0.02"/>
    <n v="2.6"/>
    <n v="7.6999999999999999E-2"/>
    <n v="11"/>
    <n v="35"/>
    <n v="0.99556999999999995"/>
    <n v="3.36"/>
    <n v="0.62"/>
    <n v="10.8"/>
    <n v="6"/>
    <x v="0"/>
  </r>
  <r>
    <n v="7.5"/>
    <n v="0.56999999999999995"/>
    <n v="0.02"/>
    <n v="2.6"/>
    <n v="7.6999999999999999E-2"/>
    <n v="11"/>
    <n v="35"/>
    <n v="0.99556999999999995"/>
    <n v="3.36"/>
    <n v="0.62"/>
    <n v="10.8"/>
    <n v="6"/>
    <x v="0"/>
  </r>
  <r>
    <n v="6.8"/>
    <n v="0.83"/>
    <n v="0.09"/>
    <n v="1.8"/>
    <n v="7.3999999999999996E-2"/>
    <n v="4"/>
    <n v="25"/>
    <n v="0.99534"/>
    <n v="3.38"/>
    <n v="0.45"/>
    <n v="9.6"/>
    <n v="5"/>
    <x v="0"/>
  </r>
  <r>
    <n v="8"/>
    <n v="0.6"/>
    <n v="0.22"/>
    <n v="2.1"/>
    <n v="0.08"/>
    <n v="25"/>
    <n v="105"/>
    <n v="0.99612999999999996"/>
    <n v="3.3"/>
    <n v="0.49"/>
    <n v="9.9"/>
    <n v="5"/>
    <x v="0"/>
  </r>
  <r>
    <n v="8"/>
    <n v="0.6"/>
    <n v="0.22"/>
    <n v="2.1"/>
    <n v="0.08"/>
    <n v="25"/>
    <n v="105"/>
    <n v="0.99612999999999996"/>
    <n v="3.3"/>
    <n v="0.49"/>
    <n v="9.9"/>
    <n v="5"/>
    <x v="0"/>
  </r>
  <r>
    <n v="7.1"/>
    <n v="0.755"/>
    <n v="0.15"/>
    <n v="1.8"/>
    <n v="0.107"/>
    <n v="20"/>
    <n v="84"/>
    <n v="0.99592999999999998"/>
    <n v="3.19"/>
    <n v="0.5"/>
    <n v="9.5"/>
    <n v="5"/>
    <x v="0"/>
  </r>
  <r>
    <n v="8"/>
    <n v="0.81"/>
    <n v="0.25"/>
    <n v="3.4"/>
    <n v="7.5999999999999998E-2"/>
    <n v="34"/>
    <n v="85"/>
    <n v="0.99668000000000001"/>
    <n v="3.19"/>
    <n v="0.42"/>
    <n v="9.1999999999999993"/>
    <n v="5"/>
    <x v="0"/>
  </r>
  <r>
    <n v="7.4"/>
    <n v="0.64"/>
    <n v="7.0000000000000007E-2"/>
    <n v="1.8"/>
    <n v="0.1"/>
    <n v="8"/>
    <n v="23"/>
    <n v="0.99609999999999999"/>
    <n v="3.3"/>
    <n v="0.57999999999999996"/>
    <n v="9.6"/>
    <n v="5"/>
    <x v="0"/>
  </r>
  <r>
    <n v="7.4"/>
    <n v="0.64"/>
    <n v="7.0000000000000007E-2"/>
    <n v="1.8"/>
    <n v="0.1"/>
    <n v="8"/>
    <n v="23"/>
    <n v="0.99609999999999999"/>
    <n v="3.3"/>
    <n v="0.57999999999999996"/>
    <n v="9.6"/>
    <n v="5"/>
    <x v="0"/>
  </r>
  <r>
    <n v="6.6"/>
    <n v="0.64"/>
    <n v="0.31"/>
    <n v="6.1"/>
    <n v="8.3000000000000004E-2"/>
    <n v="7"/>
    <n v="49"/>
    <n v="0.99717999999999996"/>
    <n v="3.35"/>
    <n v="0.68"/>
    <n v="10.3"/>
    <n v="5"/>
    <x v="0"/>
  </r>
  <r>
    <n v="6.7"/>
    <n v="0.48"/>
    <n v="0.02"/>
    <n v="2.2000000000000002"/>
    <n v="0.08"/>
    <n v="36"/>
    <n v="111"/>
    <n v="0.99524000000000001"/>
    <n v="3.1"/>
    <n v="0.53"/>
    <n v="9.6999999999999993"/>
    <n v="5"/>
    <x v="0"/>
  </r>
  <r>
    <n v="6"/>
    <n v="0.49"/>
    <n v="0"/>
    <n v="2.2999999999999998"/>
    <n v="6.8000000000000005E-2"/>
    <n v="15"/>
    <n v="33"/>
    <n v="0.99292000000000002"/>
    <n v="3.58"/>
    <n v="0.59"/>
    <n v="12.5"/>
    <n v="6"/>
    <x v="0"/>
  </r>
  <r>
    <n v="8"/>
    <n v="0.64"/>
    <n v="0.22"/>
    <n v="2.4"/>
    <n v="9.4E-2"/>
    <n v="5"/>
    <n v="33"/>
    <n v="0.99612000000000001"/>
    <n v="3.37"/>
    <n v="0.57999999999999996"/>
    <n v="11"/>
    <n v="5"/>
    <x v="0"/>
  </r>
  <r>
    <n v="7.1"/>
    <n v="0.62"/>
    <n v="0.06"/>
    <n v="1.3"/>
    <n v="7.0000000000000007E-2"/>
    <n v="5"/>
    <n v="12"/>
    <n v="0.99419999999999997"/>
    <n v="3.17"/>
    <n v="0.48"/>
    <n v="9.8000000000000007"/>
    <n v="5"/>
    <x v="0"/>
  </r>
  <r>
    <n v="8"/>
    <n v="0.52"/>
    <n v="0.25"/>
    <n v="2"/>
    <n v="7.8E-2"/>
    <n v="19"/>
    <n v="59"/>
    <n v="0.99612000000000001"/>
    <n v="3.3"/>
    <n v="0.48"/>
    <n v="10.199999999999999"/>
    <n v="5"/>
    <x v="0"/>
  </r>
  <r>
    <n v="6.4"/>
    <n v="0.56999999999999995"/>
    <n v="0.14000000000000001"/>
    <n v="3.9"/>
    <n v="7.0000000000000007E-2"/>
    <n v="27"/>
    <n v="73"/>
    <n v="0.99668999999999996"/>
    <n v="3.32"/>
    <n v="0.48"/>
    <n v="9.1999999999999993"/>
    <n v="5"/>
    <x v="0"/>
  </r>
  <r>
    <n v="8.6"/>
    <n v="0.68500000000000005"/>
    <n v="0.1"/>
    <n v="1.6"/>
    <n v="9.1999999999999998E-2"/>
    <n v="3"/>
    <n v="12"/>
    <n v="0.99744999999999995"/>
    <n v="3.31"/>
    <n v="0.65"/>
    <n v="9.5500000000000007"/>
    <n v="6"/>
    <x v="0"/>
  </r>
  <r>
    <n v="8.6999999999999993"/>
    <n v="0.67500000000000004"/>
    <n v="0.1"/>
    <n v="1.6"/>
    <n v="0.09"/>
    <n v="4"/>
    <n v="11"/>
    <n v="0.99744999999999995"/>
    <n v="3.31"/>
    <n v="0.65"/>
    <n v="9.5500000000000007"/>
    <n v="5"/>
    <x v="0"/>
  </r>
  <r>
    <n v="7.3"/>
    <n v="0.59"/>
    <n v="0.26"/>
    <n v="2"/>
    <n v="0.08"/>
    <n v="17"/>
    <n v="104"/>
    <n v="0.99583999999999995"/>
    <n v="3.28"/>
    <n v="0.52"/>
    <n v="9.9"/>
    <n v="5"/>
    <x v="0"/>
  </r>
  <r>
    <n v="7"/>
    <n v="0.6"/>
    <n v="0.12"/>
    <n v="2.2000000000000002"/>
    <n v="8.3000000000000004E-2"/>
    <n v="13"/>
    <n v="28"/>
    <n v="0.99660000000000004"/>
    <n v="3.52"/>
    <n v="0.62"/>
    <n v="10.199999999999999"/>
    <n v="7"/>
    <x v="1"/>
  </r>
  <r>
    <n v="7.2"/>
    <n v="0.67"/>
    <n v="0"/>
    <n v="2.2000000000000002"/>
    <n v="6.8000000000000005E-2"/>
    <n v="10"/>
    <n v="24"/>
    <n v="0.99560000000000004"/>
    <n v="3.42"/>
    <n v="0.72"/>
    <n v="11.1"/>
    <n v="6"/>
    <x v="0"/>
  </r>
  <r>
    <n v="7.9"/>
    <n v="0.69"/>
    <n v="0.21"/>
    <n v="2.1"/>
    <n v="0.08"/>
    <n v="33"/>
    <n v="141"/>
    <n v="0.99619999999999997"/>
    <n v="3.25"/>
    <n v="0.51"/>
    <n v="9.9"/>
    <n v="5"/>
    <x v="0"/>
  </r>
  <r>
    <n v="7.9"/>
    <n v="0.69"/>
    <n v="0.21"/>
    <n v="2.1"/>
    <n v="0.08"/>
    <n v="33"/>
    <n v="141"/>
    <n v="0.99619999999999997"/>
    <n v="3.25"/>
    <n v="0.51"/>
    <n v="9.9"/>
    <n v="5"/>
    <x v="0"/>
  </r>
  <r>
    <n v="7.6"/>
    <n v="0.3"/>
    <n v="0.42"/>
    <n v="2"/>
    <n v="5.1999999999999998E-2"/>
    <n v="6"/>
    <n v="24"/>
    <n v="0.99629999999999996"/>
    <n v="3.44"/>
    <n v="0.82"/>
    <n v="11.9"/>
    <n v="6"/>
    <x v="0"/>
  </r>
  <r>
    <n v="7.2"/>
    <n v="0.33"/>
    <n v="0.33"/>
    <n v="1.7"/>
    <n v="6.0999999999999999E-2"/>
    <n v="3"/>
    <n v="13"/>
    <n v="0.996"/>
    <n v="3.23"/>
    <n v="1.1000000000000001"/>
    <n v="10"/>
    <n v="8"/>
    <x v="1"/>
  </r>
  <r>
    <n v="8"/>
    <n v="0.5"/>
    <n v="0.39"/>
    <n v="2.6"/>
    <n v="8.2000000000000003E-2"/>
    <n v="12"/>
    <n v="46"/>
    <n v="0.99850000000000005"/>
    <n v="3.43"/>
    <n v="0.62"/>
    <n v="10.7"/>
    <n v="6"/>
    <x v="0"/>
  </r>
  <r>
    <n v="7.7"/>
    <n v="0.28000000000000003"/>
    <n v="0.3"/>
    <n v="2"/>
    <n v="6.2E-2"/>
    <n v="18"/>
    <n v="34"/>
    <n v="0.99519999999999997"/>
    <n v="3.28"/>
    <n v="0.9"/>
    <n v="11.3"/>
    <n v="7"/>
    <x v="1"/>
  </r>
  <r>
    <n v="8.1999999999999993"/>
    <n v="0.24"/>
    <n v="0.34"/>
    <n v="5.0999999999999996"/>
    <n v="6.2E-2"/>
    <n v="8"/>
    <n v="22"/>
    <n v="0.99739999999999995"/>
    <n v="3.22"/>
    <n v="0.94"/>
    <n v="10.9"/>
    <n v="6"/>
    <x v="0"/>
  </r>
  <r>
    <n v="6"/>
    <n v="0.51"/>
    <n v="0"/>
    <n v="2.1"/>
    <n v="6.4000000000000001E-2"/>
    <n v="40"/>
    <n v="54"/>
    <n v="0.995"/>
    <n v="3.54"/>
    <n v="0.93"/>
    <n v="10.7"/>
    <n v="6"/>
    <x v="0"/>
  </r>
  <r>
    <n v="8.1"/>
    <n v="0.28999999999999998"/>
    <n v="0.36"/>
    <n v="2.2000000000000002"/>
    <n v="4.8000000000000001E-2"/>
    <n v="35"/>
    <n v="53"/>
    <n v="0.995"/>
    <n v="3.27"/>
    <n v="1.01"/>
    <n v="12.4"/>
    <n v="7"/>
    <x v="1"/>
  </r>
  <r>
    <n v="6"/>
    <n v="0.51"/>
    <n v="0"/>
    <n v="2.1"/>
    <n v="6.4000000000000001E-2"/>
    <n v="40"/>
    <n v="54"/>
    <n v="0.995"/>
    <n v="3.54"/>
    <n v="0.93"/>
    <n v="10.7"/>
    <n v="6"/>
    <x v="0"/>
  </r>
  <r>
    <n v="6.6"/>
    <n v="0.96"/>
    <n v="0"/>
    <n v="1.8"/>
    <n v="8.2000000000000003E-2"/>
    <n v="5"/>
    <n v="16"/>
    <n v="0.99360000000000004"/>
    <n v="3.5"/>
    <n v="0.44"/>
    <n v="11.9"/>
    <n v="6"/>
    <x v="0"/>
  </r>
  <r>
    <n v="6.4"/>
    <n v="0.47"/>
    <n v="0.4"/>
    <n v="2.4"/>
    <n v="7.0999999999999994E-2"/>
    <n v="8"/>
    <n v="19"/>
    <n v="0.99629999999999996"/>
    <n v="3.56"/>
    <n v="0.73"/>
    <n v="10.6"/>
    <n v="6"/>
    <x v="0"/>
  </r>
  <r>
    <n v="8.1999999999999993"/>
    <n v="0.24"/>
    <n v="0.34"/>
    <n v="5.0999999999999996"/>
    <n v="6.2E-2"/>
    <n v="8"/>
    <n v="22"/>
    <n v="0.99739999999999995"/>
    <n v="3.22"/>
    <n v="0.94"/>
    <n v="10.9"/>
    <n v="6"/>
    <x v="0"/>
  </r>
  <r>
    <n v="9.9"/>
    <n v="0.56999999999999995"/>
    <n v="0.25"/>
    <n v="2"/>
    <n v="0.104"/>
    <n v="12"/>
    <n v="89"/>
    <n v="0.99629999999999996"/>
    <n v="3.04"/>
    <n v="0.9"/>
    <n v="10.1"/>
    <n v="5"/>
    <x v="0"/>
  </r>
  <r>
    <n v="10"/>
    <n v="0.32"/>
    <n v="0.59"/>
    <n v="2.2000000000000002"/>
    <n v="7.6999999999999999E-2"/>
    <n v="3"/>
    <n v="15"/>
    <n v="0.99939999999999996"/>
    <n v="3.2"/>
    <n v="0.78"/>
    <n v="9.6"/>
    <n v="5"/>
    <x v="0"/>
  </r>
  <r>
    <n v="6.2"/>
    <n v="0.57999999999999996"/>
    <n v="0"/>
    <n v="1.6"/>
    <n v="6.5000000000000002E-2"/>
    <n v="8"/>
    <n v="18"/>
    <n v="0.99660000000000004"/>
    <n v="3.56"/>
    <n v="0.84"/>
    <n v="9.4"/>
    <n v="5"/>
    <x v="0"/>
  </r>
  <r>
    <n v="10"/>
    <n v="0.32"/>
    <n v="0.59"/>
    <n v="2.2000000000000002"/>
    <n v="7.6999999999999999E-2"/>
    <n v="3"/>
    <n v="15"/>
    <n v="0.99939999999999996"/>
    <n v="3.2"/>
    <n v="0.78"/>
    <n v="9.6"/>
    <n v="5"/>
    <x v="0"/>
  </r>
  <r>
    <n v="7.3"/>
    <n v="0.34"/>
    <n v="0.33"/>
    <n v="2.5"/>
    <n v="6.4000000000000001E-2"/>
    <n v="21"/>
    <n v="37"/>
    <n v="0.99519999999999997"/>
    <n v="3.35"/>
    <n v="0.77"/>
    <n v="12.1"/>
    <n v="7"/>
    <x v="1"/>
  </r>
  <r>
    <n v="7.8"/>
    <n v="0.53"/>
    <n v="0.01"/>
    <n v="1.6"/>
    <n v="7.6999999999999999E-2"/>
    <n v="3"/>
    <n v="19"/>
    <n v="0.995"/>
    <n v="3.16"/>
    <n v="0.46"/>
    <n v="9.8000000000000007"/>
    <n v="5"/>
    <x v="0"/>
  </r>
  <r>
    <n v="7.7"/>
    <n v="0.64"/>
    <n v="0.21"/>
    <n v="2.2000000000000002"/>
    <n v="7.6999999999999999E-2"/>
    <n v="32"/>
    <n v="133"/>
    <n v="0.99560000000000004"/>
    <n v="3.27"/>
    <n v="0.45"/>
    <n v="9.9"/>
    <n v="5"/>
    <x v="0"/>
  </r>
  <r>
    <n v="7.8"/>
    <n v="0.53"/>
    <n v="0.01"/>
    <n v="1.6"/>
    <n v="7.6999999999999999E-2"/>
    <n v="3"/>
    <n v="19"/>
    <n v="0.995"/>
    <n v="3.16"/>
    <n v="0.46"/>
    <n v="9.8000000000000007"/>
    <n v="5"/>
    <x v="0"/>
  </r>
  <r>
    <n v="7.5"/>
    <n v="0.4"/>
    <n v="0.18"/>
    <n v="1.6"/>
    <n v="7.9000000000000001E-2"/>
    <n v="24"/>
    <n v="58"/>
    <n v="0.99650000000000005"/>
    <n v="3.34"/>
    <n v="0.57999999999999996"/>
    <n v="9.4"/>
    <n v="5"/>
    <x v="0"/>
  </r>
  <r>
    <n v="7"/>
    <n v="0.54"/>
    <n v="0"/>
    <n v="2.1"/>
    <n v="7.9000000000000001E-2"/>
    <n v="39"/>
    <n v="55"/>
    <n v="0.99560000000000004"/>
    <n v="3.39"/>
    <n v="0.84"/>
    <n v="11.4"/>
    <n v="6"/>
    <x v="0"/>
  </r>
  <r>
    <n v="6.4"/>
    <n v="0.53"/>
    <n v="0.09"/>
    <n v="3.9"/>
    <n v="0.123"/>
    <n v="14"/>
    <n v="31"/>
    <n v="0.99680000000000002"/>
    <n v="3.5"/>
    <n v="0.67"/>
    <n v="11"/>
    <n v="4"/>
    <x v="2"/>
  </r>
  <r>
    <n v="8.3000000000000007"/>
    <n v="0.26"/>
    <n v="0.37"/>
    <n v="1.4"/>
    <n v="7.5999999999999998E-2"/>
    <n v="8"/>
    <n v="23"/>
    <n v="0.99739999999999995"/>
    <n v="3.26"/>
    <n v="0.7"/>
    <n v="9.6"/>
    <n v="6"/>
    <x v="0"/>
  </r>
  <r>
    <n v="8.3000000000000007"/>
    <n v="0.26"/>
    <n v="0.37"/>
    <n v="1.4"/>
    <n v="7.5999999999999998E-2"/>
    <n v="8"/>
    <n v="23"/>
    <n v="0.99739999999999995"/>
    <n v="3.26"/>
    <n v="0.7"/>
    <n v="9.6"/>
    <n v="6"/>
    <x v="0"/>
  </r>
  <r>
    <n v="7.7"/>
    <n v="0.23"/>
    <n v="0.37"/>
    <n v="1.8"/>
    <n v="4.5999999999999999E-2"/>
    <n v="23"/>
    <n v="60"/>
    <n v="0.99709999999999999"/>
    <n v="3.41"/>
    <n v="0.71"/>
    <n v="12.1"/>
    <n v="6"/>
    <x v="0"/>
  </r>
  <r>
    <n v="7.6"/>
    <n v="0.41"/>
    <n v="0.33"/>
    <n v="2.5"/>
    <n v="7.8E-2"/>
    <n v="6"/>
    <n v="23"/>
    <n v="0.99570000000000003"/>
    <n v="3.3"/>
    <n v="0.57999999999999996"/>
    <n v="11.2"/>
    <n v="5"/>
    <x v="0"/>
  </r>
  <r>
    <n v="7.8"/>
    <n v="0.64"/>
    <n v="0"/>
    <n v="1.9"/>
    <n v="7.1999999999999995E-2"/>
    <n v="27"/>
    <n v="55"/>
    <n v="0.99619999999999997"/>
    <n v="3.31"/>
    <n v="0.63"/>
    <n v="11"/>
    <n v="5"/>
    <x v="0"/>
  </r>
  <r>
    <n v="7.9"/>
    <n v="0.18"/>
    <n v="0.4"/>
    <n v="2.2000000000000002"/>
    <n v="4.9000000000000002E-2"/>
    <n v="38"/>
    <n v="67"/>
    <n v="0.996"/>
    <n v="3.33"/>
    <n v="0.93"/>
    <n v="11.3"/>
    <n v="5"/>
    <x v="0"/>
  </r>
  <r>
    <n v="7.4"/>
    <n v="0.41"/>
    <n v="0.24"/>
    <n v="1.8"/>
    <n v="6.6000000000000003E-2"/>
    <n v="18"/>
    <n v="47"/>
    <n v="0.99560000000000004"/>
    <n v="3.37"/>
    <n v="0.62"/>
    <n v="10.4"/>
    <n v="5"/>
    <x v="0"/>
  </r>
  <r>
    <n v="7.6"/>
    <n v="0.43"/>
    <n v="0.31"/>
    <n v="2.1"/>
    <n v="6.9000000000000006E-2"/>
    <n v="13"/>
    <n v="74"/>
    <n v="0.99580000000000002"/>
    <n v="3.26"/>
    <n v="0.54"/>
    <n v="9.9"/>
    <n v="6"/>
    <x v="0"/>
  </r>
  <r>
    <n v="5.9"/>
    <n v="0.44"/>
    <n v="0"/>
    <n v="1.6"/>
    <n v="4.2000000000000003E-2"/>
    <n v="3"/>
    <n v="11"/>
    <n v="0.99439999999999995"/>
    <n v="3.48"/>
    <n v="0.85"/>
    <n v="11.7"/>
    <n v="6"/>
    <x v="0"/>
  </r>
  <r>
    <n v="6.1"/>
    <n v="0.4"/>
    <n v="0.16"/>
    <n v="1.8"/>
    <n v="6.9000000000000006E-2"/>
    <n v="11"/>
    <n v="25"/>
    <n v="0.99550000000000005"/>
    <n v="3.42"/>
    <n v="0.74"/>
    <n v="10.1"/>
    <n v="7"/>
    <x v="1"/>
  </r>
  <r>
    <n v="10.199999999999999"/>
    <n v="0.54"/>
    <n v="0.37"/>
    <n v="15.4"/>
    <n v="0.214"/>
    <n v="55"/>
    <n v="95"/>
    <n v="1.00369"/>
    <n v="3.18"/>
    <n v="0.77"/>
    <n v="9"/>
    <n v="6"/>
    <x v="0"/>
  </r>
  <r>
    <n v="10.199999999999999"/>
    <n v="0.54"/>
    <n v="0.37"/>
    <n v="15.4"/>
    <n v="0.214"/>
    <n v="55"/>
    <n v="95"/>
    <n v="1.00369"/>
    <n v="3.18"/>
    <n v="0.77"/>
    <n v="9"/>
    <n v="6"/>
    <x v="0"/>
  </r>
  <r>
    <n v="10"/>
    <n v="0.38"/>
    <n v="0.38"/>
    <n v="1.6"/>
    <n v="0.16900000000000001"/>
    <n v="27"/>
    <n v="90"/>
    <n v="0.99914000000000003"/>
    <n v="3.15"/>
    <n v="0.65"/>
    <n v="8.5"/>
    <n v="5"/>
    <x v="0"/>
  </r>
  <r>
    <n v="6.8"/>
    <n v="0.91500000000000004"/>
    <n v="0.28999999999999998"/>
    <n v="4.8"/>
    <n v="7.0000000000000007E-2"/>
    <n v="15"/>
    <n v="39"/>
    <n v="0.99577000000000004"/>
    <n v="3.53"/>
    <n v="0.54"/>
    <n v="11.1"/>
    <n v="5"/>
    <x v="0"/>
  </r>
  <r>
    <n v="7"/>
    <n v="0.59"/>
    <n v="0"/>
    <n v="1.7"/>
    <n v="5.1999999999999998E-2"/>
    <n v="3"/>
    <n v="8"/>
    <n v="0.996"/>
    <n v="3.41"/>
    <n v="0.47"/>
    <n v="10.3"/>
    <n v="5"/>
    <x v="0"/>
  </r>
  <r>
    <n v="7.3"/>
    <n v="0.67"/>
    <n v="0.02"/>
    <n v="2.2000000000000002"/>
    <n v="7.1999999999999995E-2"/>
    <n v="31"/>
    <n v="92"/>
    <n v="0.99565999999999999"/>
    <n v="3.32"/>
    <n v="0.68"/>
    <n v="11.0666666666667"/>
    <n v="6"/>
    <x v="0"/>
  </r>
  <r>
    <n v="7.2"/>
    <n v="0.37"/>
    <n v="0.32"/>
    <n v="2"/>
    <n v="6.2E-2"/>
    <n v="15"/>
    <n v="28"/>
    <n v="0.99470000000000003"/>
    <n v="3.23"/>
    <n v="0.73"/>
    <n v="11.3"/>
    <n v="7"/>
    <x v="1"/>
  </r>
  <r>
    <n v="7.4"/>
    <n v="0.78500000000000003"/>
    <n v="0.19"/>
    <n v="5.2"/>
    <n v="9.4E-2"/>
    <n v="19"/>
    <n v="98"/>
    <n v="0.99712999999999996"/>
    <n v="3.16"/>
    <n v="0.52"/>
    <n v="9.56666666666667"/>
    <n v="6"/>
    <x v="0"/>
  </r>
  <r>
    <n v="6.9"/>
    <n v="0.63"/>
    <n v="0.02"/>
    <n v="1.9"/>
    <n v="7.8E-2"/>
    <n v="18"/>
    <n v="30"/>
    <n v="0.99712000000000001"/>
    <n v="3.4"/>
    <n v="0.75"/>
    <n v="9.8000000000000007"/>
    <n v="5"/>
    <x v="0"/>
  </r>
  <r>
    <n v="6.9"/>
    <n v="0.57999999999999996"/>
    <n v="0.2"/>
    <n v="1.75"/>
    <n v="5.8000000000000003E-2"/>
    <n v="8"/>
    <n v="22"/>
    <n v="0.99321999999999999"/>
    <n v="3.38"/>
    <n v="0.49"/>
    <n v="11.7"/>
    <n v="5"/>
    <x v="0"/>
  </r>
  <r>
    <n v="7.3"/>
    <n v="0.67"/>
    <n v="0.02"/>
    <n v="2.2000000000000002"/>
    <n v="7.1999999999999995E-2"/>
    <n v="31"/>
    <n v="92"/>
    <n v="0.99565999999999999"/>
    <n v="3.32"/>
    <n v="0.68"/>
    <n v="11.1"/>
    <n v="6"/>
    <x v="0"/>
  </r>
  <r>
    <n v="7.4"/>
    <n v="0.78500000000000003"/>
    <n v="0.19"/>
    <n v="5.2"/>
    <n v="9.4E-2"/>
    <n v="19"/>
    <n v="98"/>
    <n v="0.99712999999999996"/>
    <n v="3.16"/>
    <n v="0.52"/>
    <n v="9.6"/>
    <n v="6"/>
    <x v="0"/>
  </r>
  <r>
    <n v="6.9"/>
    <n v="0.63"/>
    <n v="0.02"/>
    <n v="1.9"/>
    <n v="7.8E-2"/>
    <n v="18"/>
    <n v="30"/>
    <n v="0.99712000000000001"/>
    <n v="3.4"/>
    <n v="0.75"/>
    <n v="9.8000000000000007"/>
    <n v="5"/>
    <x v="0"/>
  </r>
  <r>
    <n v="6.8"/>
    <n v="0.67"/>
    <n v="0"/>
    <n v="1.9"/>
    <n v="0.08"/>
    <n v="22"/>
    <n v="39"/>
    <n v="0.99700999999999995"/>
    <n v="3.4"/>
    <n v="0.74"/>
    <n v="9.6999999999999993"/>
    <n v="5"/>
    <x v="0"/>
  </r>
  <r>
    <n v="6.9"/>
    <n v="0.57999999999999996"/>
    <n v="0.01"/>
    <n v="1.9"/>
    <n v="0.08"/>
    <n v="40"/>
    <n v="54"/>
    <n v="0.99682999999999999"/>
    <n v="3.4"/>
    <n v="0.73"/>
    <n v="9.6999999999999993"/>
    <n v="5"/>
    <x v="0"/>
  </r>
  <r>
    <n v="7.2"/>
    <n v="0.38"/>
    <n v="0.31"/>
    <n v="2"/>
    <n v="5.6000000000000001E-2"/>
    <n v="15"/>
    <n v="29"/>
    <n v="0.99472000000000005"/>
    <n v="3.23"/>
    <n v="0.76"/>
    <n v="11.3"/>
    <n v="8"/>
    <x v="1"/>
  </r>
  <r>
    <n v="7.2"/>
    <n v="0.37"/>
    <n v="0.32"/>
    <n v="2"/>
    <n v="6.2E-2"/>
    <n v="15"/>
    <n v="28"/>
    <n v="0.99470000000000003"/>
    <n v="3.23"/>
    <n v="0.73"/>
    <n v="11.3"/>
    <n v="7"/>
    <x v="1"/>
  </r>
  <r>
    <n v="7.8"/>
    <n v="0.32"/>
    <n v="0.44"/>
    <n v="2.7"/>
    <n v="0.104"/>
    <n v="8"/>
    <n v="17"/>
    <n v="0.99731999999999998"/>
    <n v="3.33"/>
    <n v="0.78"/>
    <n v="11"/>
    <n v="7"/>
    <x v="1"/>
  </r>
  <r>
    <n v="6.6"/>
    <n v="0.57999999999999996"/>
    <n v="0.02"/>
    <n v="2"/>
    <n v="6.2E-2"/>
    <n v="37"/>
    <n v="53"/>
    <n v="0.99373999999999996"/>
    <n v="3.35"/>
    <n v="0.76"/>
    <n v="11.6"/>
    <n v="7"/>
    <x v="1"/>
  </r>
  <r>
    <n v="7.6"/>
    <n v="0.49"/>
    <n v="0.33"/>
    <n v="1.9"/>
    <n v="7.3999999999999996E-2"/>
    <n v="27"/>
    <n v="85"/>
    <n v="0.99705999999999995"/>
    <n v="3.41"/>
    <n v="0.57999999999999996"/>
    <n v="9"/>
    <n v="5"/>
    <x v="0"/>
  </r>
  <r>
    <n v="11.7"/>
    <n v="0.45"/>
    <n v="0.63"/>
    <n v="2.2000000000000002"/>
    <n v="7.2999999999999995E-2"/>
    <n v="7"/>
    <n v="23"/>
    <n v="0.99973999999999996"/>
    <n v="3.21"/>
    <n v="0.69"/>
    <n v="10.9"/>
    <n v="6"/>
    <x v="0"/>
  </r>
  <r>
    <n v="6.5"/>
    <n v="0.9"/>
    <n v="0"/>
    <n v="1.6"/>
    <n v="5.1999999999999998E-2"/>
    <n v="9"/>
    <n v="17"/>
    <n v="0.99467000000000005"/>
    <n v="3.5"/>
    <n v="0.63"/>
    <n v="10.9"/>
    <n v="6"/>
    <x v="0"/>
  </r>
  <r>
    <n v="6"/>
    <n v="0.54"/>
    <n v="0.06"/>
    <n v="1.8"/>
    <n v="0.05"/>
    <n v="38"/>
    <n v="89"/>
    <n v="0.99236000000000002"/>
    <n v="3.3"/>
    <n v="0.5"/>
    <n v="10.55"/>
    <n v="6"/>
    <x v="0"/>
  </r>
  <r>
    <n v="7.6"/>
    <n v="0.49"/>
    <n v="0.33"/>
    <n v="1.9"/>
    <n v="7.3999999999999996E-2"/>
    <n v="27"/>
    <n v="85"/>
    <n v="0.99705999999999995"/>
    <n v="3.41"/>
    <n v="0.57999999999999996"/>
    <n v="9"/>
    <n v="5"/>
    <x v="0"/>
  </r>
  <r>
    <n v="8.4"/>
    <n v="0.28999999999999998"/>
    <n v="0.4"/>
    <n v="1.7"/>
    <n v="6.7000000000000004E-2"/>
    <n v="8"/>
    <n v="20"/>
    <n v="0.99602999999999997"/>
    <n v="3.39"/>
    <n v="0.6"/>
    <n v="10.5"/>
    <n v="5"/>
    <x v="0"/>
  </r>
  <r>
    <n v="7.9"/>
    <n v="0.2"/>
    <n v="0.35"/>
    <n v="1.7"/>
    <n v="5.3999999999999999E-2"/>
    <n v="7"/>
    <n v="15"/>
    <n v="0.99458000000000002"/>
    <n v="3.32"/>
    <n v="0.8"/>
    <n v="11.9"/>
    <n v="7"/>
    <x v="1"/>
  </r>
  <r>
    <n v="6.4"/>
    <n v="0.42"/>
    <n v="0.09"/>
    <n v="2.2999999999999998"/>
    <n v="5.3999999999999999E-2"/>
    <n v="34"/>
    <n v="64"/>
    <n v="0.99724000000000002"/>
    <n v="3.41"/>
    <n v="0.68"/>
    <n v="10.4"/>
    <n v="6"/>
    <x v="0"/>
  </r>
  <r>
    <n v="6.2"/>
    <n v="0.78500000000000003"/>
    <n v="0"/>
    <n v="2.1"/>
    <n v="0.06"/>
    <n v="6"/>
    <n v="13"/>
    <n v="0.99663999999999997"/>
    <n v="3.59"/>
    <n v="0.61"/>
    <n v="10"/>
    <n v="4"/>
    <x v="2"/>
  </r>
  <r>
    <n v="6.8"/>
    <n v="0.64"/>
    <n v="0.03"/>
    <n v="2.2999999999999998"/>
    <n v="7.4999999999999997E-2"/>
    <n v="14"/>
    <n v="31"/>
    <n v="0.99544999999999995"/>
    <n v="3.36"/>
    <n v="0.57999999999999996"/>
    <n v="10.4"/>
    <n v="6"/>
    <x v="0"/>
  </r>
  <r>
    <n v="6.9"/>
    <n v="0.63"/>
    <n v="0.01"/>
    <n v="2.4"/>
    <n v="7.5999999999999998E-2"/>
    <n v="14"/>
    <n v="39"/>
    <n v="0.99521999999999999"/>
    <n v="3.34"/>
    <n v="0.53"/>
    <n v="10.8"/>
    <n v="6"/>
    <x v="0"/>
  </r>
  <r>
    <n v="6.8"/>
    <n v="0.59"/>
    <n v="0.1"/>
    <n v="1.7"/>
    <n v="6.3E-2"/>
    <n v="34"/>
    <n v="53"/>
    <n v="0.99580000000000002"/>
    <n v="3.41"/>
    <n v="0.67"/>
    <n v="9.6999999999999993"/>
    <n v="5"/>
    <x v="0"/>
  </r>
  <r>
    <n v="6.8"/>
    <n v="0.59"/>
    <n v="0.1"/>
    <n v="1.7"/>
    <n v="6.3E-2"/>
    <n v="34"/>
    <n v="53"/>
    <n v="0.99580000000000002"/>
    <n v="3.41"/>
    <n v="0.67"/>
    <n v="9.6999999999999993"/>
    <n v="5"/>
    <x v="0"/>
  </r>
  <r>
    <n v="7.3"/>
    <n v="0.48"/>
    <n v="0.32"/>
    <n v="2.1"/>
    <n v="6.2E-2"/>
    <n v="31"/>
    <n v="54"/>
    <n v="0.99728000000000006"/>
    <n v="3.3"/>
    <n v="0.65"/>
    <n v="10"/>
    <n v="7"/>
    <x v="1"/>
  </r>
  <r>
    <n v="6.7"/>
    <n v="1.04"/>
    <n v="0.08"/>
    <n v="2.2999999999999998"/>
    <n v="6.7000000000000004E-2"/>
    <n v="19"/>
    <n v="32"/>
    <n v="0.99648000000000003"/>
    <n v="3.52"/>
    <n v="0.56999999999999995"/>
    <n v="11"/>
    <n v="4"/>
    <x v="2"/>
  </r>
  <r>
    <n v="7.3"/>
    <n v="0.48"/>
    <n v="0.32"/>
    <n v="2.1"/>
    <n v="6.2E-2"/>
    <n v="31"/>
    <n v="54"/>
    <n v="0.99728000000000006"/>
    <n v="3.3"/>
    <n v="0.65"/>
    <n v="10"/>
    <n v="7"/>
    <x v="1"/>
  </r>
  <r>
    <n v="7.3"/>
    <n v="0.98"/>
    <n v="0.05"/>
    <n v="2.1"/>
    <n v="6.0999999999999999E-2"/>
    <n v="20"/>
    <n v="49"/>
    <n v="0.99704999999999999"/>
    <n v="3.31"/>
    <n v="0.55000000000000004"/>
    <n v="9.6999999999999993"/>
    <n v="3"/>
    <x v="2"/>
  </r>
  <r>
    <n v="10"/>
    <n v="0.69"/>
    <n v="0.11"/>
    <n v="1.4"/>
    <n v="8.4000000000000005E-2"/>
    <n v="8"/>
    <n v="24"/>
    <n v="0.99578"/>
    <n v="2.88"/>
    <n v="0.47"/>
    <n v="9.6999999999999993"/>
    <n v="5"/>
    <x v="0"/>
  </r>
  <r>
    <n v="6.7"/>
    <n v="0.7"/>
    <n v="0.08"/>
    <n v="3.75"/>
    <n v="6.7000000000000004E-2"/>
    <n v="8"/>
    <n v="16"/>
    <n v="0.99334"/>
    <n v="3.43"/>
    <n v="0.52"/>
    <n v="12.6"/>
    <n v="5"/>
    <x v="0"/>
  </r>
  <r>
    <n v="7.6"/>
    <n v="0.35"/>
    <n v="0.6"/>
    <n v="2.6"/>
    <n v="7.2999999999999995E-2"/>
    <n v="23"/>
    <n v="44"/>
    <n v="0.99656"/>
    <n v="3.38"/>
    <n v="0.79"/>
    <n v="11.1"/>
    <n v="6"/>
    <x v="0"/>
  </r>
  <r>
    <n v="6.1"/>
    <n v="0.6"/>
    <n v="0.08"/>
    <n v="1.8"/>
    <n v="7.0999999999999994E-2"/>
    <n v="14"/>
    <n v="45"/>
    <n v="0.99336000000000002"/>
    <n v="3.38"/>
    <n v="0.54"/>
    <n v="11"/>
    <n v="5"/>
    <x v="0"/>
  </r>
  <r>
    <n v="9.9"/>
    <n v="0.5"/>
    <n v="0.5"/>
    <n v="13.8"/>
    <n v="0.20499999999999999"/>
    <n v="48"/>
    <n v="82"/>
    <n v="1.0024200000000001"/>
    <n v="3.16"/>
    <n v="0.75"/>
    <n v="8.8000000000000007"/>
    <n v="5"/>
    <x v="0"/>
  </r>
  <r>
    <n v="5.3"/>
    <n v="0.47"/>
    <n v="0.11"/>
    <n v="2.2000000000000002"/>
    <n v="4.8000000000000001E-2"/>
    <n v="16"/>
    <n v="89"/>
    <n v="0.99182000000000003"/>
    <n v="3.54"/>
    <n v="0.88"/>
    <n v="13.5666666666667"/>
    <n v="7"/>
    <x v="1"/>
  </r>
  <r>
    <n v="9.9"/>
    <n v="0.5"/>
    <n v="0.5"/>
    <n v="13.8"/>
    <n v="0.20499999999999999"/>
    <n v="48"/>
    <n v="82"/>
    <n v="1.0024200000000001"/>
    <n v="3.16"/>
    <n v="0.75"/>
    <n v="8.8000000000000007"/>
    <n v="5"/>
    <x v="0"/>
  </r>
  <r>
    <n v="5.3"/>
    <n v="0.47"/>
    <n v="0.11"/>
    <n v="2.2000000000000002"/>
    <n v="4.8000000000000001E-2"/>
    <n v="16"/>
    <n v="89"/>
    <n v="0.99182000000000003"/>
    <n v="3.54"/>
    <n v="0.88"/>
    <n v="13.6"/>
    <n v="7"/>
    <x v="1"/>
  </r>
  <r>
    <n v="7.1"/>
    <n v="0.875"/>
    <n v="0.05"/>
    <n v="5.7"/>
    <n v="8.2000000000000003E-2"/>
    <n v="3"/>
    <n v="14"/>
    <n v="0.99807999999999997"/>
    <n v="3.4"/>
    <n v="0.52"/>
    <n v="10.199999999999999"/>
    <n v="3"/>
    <x v="2"/>
  </r>
  <r>
    <n v="8.1999999999999993"/>
    <n v="0.28000000000000003"/>
    <n v="0.6"/>
    <n v="3"/>
    <n v="0.104"/>
    <n v="10"/>
    <n v="22"/>
    <n v="0.99827999999999995"/>
    <n v="3.39"/>
    <n v="0.68"/>
    <n v="10.6"/>
    <n v="5"/>
    <x v="0"/>
  </r>
  <r>
    <n v="5.6"/>
    <n v="0.62"/>
    <n v="0.03"/>
    <n v="1.5"/>
    <n v="0.08"/>
    <n v="6"/>
    <n v="13"/>
    <n v="0.99497999999999998"/>
    <n v="3.66"/>
    <n v="0.62"/>
    <n v="10.1"/>
    <n v="4"/>
    <x v="2"/>
  </r>
  <r>
    <n v="8.1999999999999993"/>
    <n v="0.28000000000000003"/>
    <n v="0.6"/>
    <n v="3"/>
    <n v="0.104"/>
    <n v="10"/>
    <n v="22"/>
    <n v="0.99827999999999995"/>
    <n v="3.39"/>
    <n v="0.68"/>
    <n v="10.6"/>
    <n v="5"/>
    <x v="0"/>
  </r>
  <r>
    <n v="7.2"/>
    <n v="0.57999999999999996"/>
    <n v="0.54"/>
    <n v="2.1"/>
    <n v="0.114"/>
    <n v="3"/>
    <n v="9"/>
    <n v="0.99719000000000002"/>
    <n v="3.33"/>
    <n v="0.56999999999999995"/>
    <n v="10.3"/>
    <n v="4"/>
    <x v="2"/>
  </r>
  <r>
    <n v="8.1"/>
    <n v="0.33"/>
    <n v="0.44"/>
    <n v="1.5"/>
    <n v="4.2000000000000003E-2"/>
    <n v="6"/>
    <n v="12"/>
    <n v="0.99541999999999997"/>
    <n v="3.35"/>
    <n v="0.61"/>
    <n v="10.7"/>
    <n v="5"/>
    <x v="0"/>
  </r>
  <r>
    <n v="6.8"/>
    <n v="0.91"/>
    <n v="0.06"/>
    <n v="2"/>
    <n v="0.06"/>
    <n v="4"/>
    <n v="11"/>
    <n v="0.99592000000000003"/>
    <n v="3.53"/>
    <n v="0.64"/>
    <n v="10.9"/>
    <n v="4"/>
    <x v="2"/>
  </r>
  <r>
    <n v="7"/>
    <n v="0.65500000000000003"/>
    <n v="0.16"/>
    <n v="2.1"/>
    <n v="7.3999999999999996E-2"/>
    <n v="8"/>
    <n v="25"/>
    <n v="0.99605999999999995"/>
    <n v="3.37"/>
    <n v="0.55000000000000004"/>
    <n v="9.6999999999999993"/>
    <n v="5"/>
    <x v="0"/>
  </r>
  <r>
    <n v="6.8"/>
    <n v="0.68"/>
    <n v="0.21"/>
    <n v="2.1"/>
    <n v="7.0000000000000007E-2"/>
    <n v="9"/>
    <n v="23"/>
    <n v="0.99546000000000001"/>
    <n v="3.38"/>
    <n v="0.6"/>
    <n v="10.3"/>
    <n v="5"/>
    <x v="0"/>
  </r>
  <r>
    <n v="6"/>
    <n v="0.64"/>
    <n v="0.05"/>
    <n v="1.9"/>
    <n v="6.6000000000000003E-2"/>
    <n v="9"/>
    <n v="17"/>
    <n v="0.99495999999999996"/>
    <n v="3.52"/>
    <n v="0.78"/>
    <n v="10.6"/>
    <n v="5"/>
    <x v="0"/>
  </r>
  <r>
    <n v="5.6"/>
    <n v="0.54"/>
    <n v="0.04"/>
    <n v="1.7"/>
    <n v="4.9000000000000002E-2"/>
    <n v="5"/>
    <n v="13"/>
    <n v="0.99419999999999997"/>
    <n v="3.72"/>
    <n v="0.57999999999999996"/>
    <n v="11.4"/>
    <n v="5"/>
    <x v="0"/>
  </r>
  <r>
    <n v="6.2"/>
    <n v="0.56999999999999995"/>
    <n v="0.1"/>
    <n v="2.1"/>
    <n v="4.8000000000000001E-2"/>
    <n v="4"/>
    <n v="11"/>
    <n v="0.99448000000000003"/>
    <n v="3.44"/>
    <n v="0.76"/>
    <n v="10.8"/>
    <n v="6"/>
    <x v="0"/>
  </r>
  <r>
    <n v="7.1"/>
    <n v="0.22"/>
    <n v="0.49"/>
    <n v="1.8"/>
    <n v="3.9E-2"/>
    <n v="8"/>
    <n v="18"/>
    <n v="0.99343999999999999"/>
    <n v="3.39"/>
    <n v="0.56000000000000005"/>
    <n v="12.4"/>
    <n v="6"/>
    <x v="0"/>
  </r>
  <r>
    <n v="5.6"/>
    <n v="0.54"/>
    <n v="0.04"/>
    <n v="1.7"/>
    <n v="4.9000000000000002E-2"/>
    <n v="5"/>
    <n v="13"/>
    <n v="0.99419999999999997"/>
    <n v="3.72"/>
    <n v="0.57999999999999996"/>
    <n v="11.4"/>
    <n v="5"/>
    <x v="0"/>
  </r>
  <r>
    <n v="6.2"/>
    <n v="0.65"/>
    <n v="0.06"/>
    <n v="1.6"/>
    <n v="0.05"/>
    <n v="6"/>
    <n v="18"/>
    <n v="0.99348000000000003"/>
    <n v="3.57"/>
    <n v="0.54"/>
    <n v="11.95"/>
    <n v="5"/>
    <x v="0"/>
  </r>
  <r>
    <n v="7.7"/>
    <n v="0.54"/>
    <n v="0.26"/>
    <n v="1.9"/>
    <n v="8.8999999999999996E-2"/>
    <n v="23"/>
    <n v="147"/>
    <n v="0.99636000000000002"/>
    <n v="3.26"/>
    <n v="0.59"/>
    <n v="9.6999999999999993"/>
    <n v="5"/>
    <x v="0"/>
  </r>
  <r>
    <n v="6.4"/>
    <n v="0.31"/>
    <n v="0.09"/>
    <n v="1.4"/>
    <n v="6.6000000000000003E-2"/>
    <n v="15"/>
    <n v="28"/>
    <n v="0.99458999999999997"/>
    <n v="3.42"/>
    <n v="0.7"/>
    <n v="10"/>
    <n v="7"/>
    <x v="1"/>
  </r>
  <r>
    <n v="7"/>
    <n v="0.43"/>
    <n v="0.02"/>
    <n v="1.9"/>
    <n v="0.08"/>
    <n v="15"/>
    <n v="28"/>
    <n v="0.99492000000000003"/>
    <n v="3.35"/>
    <n v="0.81"/>
    <n v="10.6"/>
    <n v="6"/>
    <x v="0"/>
  </r>
  <r>
    <n v="7.7"/>
    <n v="0.54"/>
    <n v="0.26"/>
    <n v="1.9"/>
    <n v="8.8999999999999996E-2"/>
    <n v="23"/>
    <n v="147"/>
    <n v="0.99636000000000002"/>
    <n v="3.26"/>
    <n v="0.59"/>
    <n v="9.6999999999999993"/>
    <n v="5"/>
    <x v="0"/>
  </r>
  <r>
    <n v="6.9"/>
    <n v="0.74"/>
    <n v="0.03"/>
    <n v="2.2999999999999998"/>
    <n v="5.3999999999999999E-2"/>
    <n v="7"/>
    <n v="16"/>
    <n v="0.99507999999999996"/>
    <n v="3.45"/>
    <n v="0.63"/>
    <n v="11.5"/>
    <n v="6"/>
    <x v="0"/>
  </r>
  <r>
    <n v="6.6"/>
    <n v="0.89500000000000002"/>
    <n v="0.04"/>
    <n v="2.2999999999999998"/>
    <n v="6.8000000000000005E-2"/>
    <n v="7"/>
    <n v="13"/>
    <n v="0.99582000000000004"/>
    <n v="3.53"/>
    <n v="0.57999999999999996"/>
    <n v="10.8"/>
    <n v="6"/>
    <x v="0"/>
  </r>
  <r>
    <n v="6.9"/>
    <n v="0.74"/>
    <n v="0.03"/>
    <n v="2.2999999999999998"/>
    <n v="5.3999999999999999E-2"/>
    <n v="7"/>
    <n v="16"/>
    <n v="0.99507999999999996"/>
    <n v="3.45"/>
    <n v="0.63"/>
    <n v="11.5"/>
    <n v="6"/>
    <x v="0"/>
  </r>
  <r>
    <n v="7.5"/>
    <n v="0.72499999999999998"/>
    <n v="0.04"/>
    <n v="1.5"/>
    <n v="7.5999999999999998E-2"/>
    <n v="8"/>
    <n v="15"/>
    <n v="0.99507999999999996"/>
    <n v="3.26"/>
    <n v="0.53"/>
    <n v="9.6"/>
    <n v="5"/>
    <x v="0"/>
  </r>
  <r>
    <n v="7.8"/>
    <n v="0.82"/>
    <n v="0.28999999999999998"/>
    <n v="4.3"/>
    <n v="8.3000000000000004E-2"/>
    <n v="21"/>
    <n v="64"/>
    <n v="0.99641999999999997"/>
    <n v="3.16"/>
    <n v="0.53"/>
    <n v="9.4"/>
    <n v="5"/>
    <x v="0"/>
  </r>
  <r>
    <n v="7.3"/>
    <n v="0.58499999999999996"/>
    <n v="0.18"/>
    <n v="2.4"/>
    <n v="7.8E-2"/>
    <n v="15"/>
    <n v="60"/>
    <n v="0.99638000000000004"/>
    <n v="3.31"/>
    <n v="0.54"/>
    <n v="9.8000000000000007"/>
    <n v="5"/>
    <x v="0"/>
  </r>
  <r>
    <n v="6.2"/>
    <n v="0.44"/>
    <n v="0.39"/>
    <n v="2.5"/>
    <n v="7.6999999999999999E-2"/>
    <n v="6"/>
    <n v="14"/>
    <n v="0.99555000000000005"/>
    <n v="3.51"/>
    <n v="0.69"/>
    <n v="11"/>
    <n v="6"/>
    <x v="0"/>
  </r>
  <r>
    <n v="7.5"/>
    <n v="0.38"/>
    <n v="0.56999999999999995"/>
    <n v="2.2999999999999998"/>
    <n v="0.106"/>
    <n v="5"/>
    <n v="12"/>
    <n v="0.99604999999999999"/>
    <n v="3.36"/>
    <n v="0.55000000000000004"/>
    <n v="11.4"/>
    <n v="6"/>
    <x v="0"/>
  </r>
  <r>
    <n v="6.7"/>
    <n v="0.76"/>
    <n v="0.02"/>
    <n v="1.8"/>
    <n v="7.8E-2"/>
    <n v="6"/>
    <n v="12"/>
    <n v="0.996"/>
    <n v="3.55"/>
    <n v="0.63"/>
    <n v="9.9499999999999993"/>
    <n v="3"/>
    <x v="2"/>
  </r>
  <r>
    <n v="6.8"/>
    <n v="0.81"/>
    <n v="0.05"/>
    <n v="2"/>
    <n v="7.0000000000000007E-2"/>
    <n v="6"/>
    <n v="14"/>
    <n v="0.99561999999999995"/>
    <n v="3.51"/>
    <n v="0.66"/>
    <n v="10.8"/>
    <n v="6"/>
    <x v="0"/>
  </r>
  <r>
    <n v="7.5"/>
    <n v="0.38"/>
    <n v="0.56999999999999995"/>
    <n v="2.2999999999999998"/>
    <n v="0.106"/>
    <n v="5"/>
    <n v="12"/>
    <n v="0.99604999999999999"/>
    <n v="3.36"/>
    <n v="0.55000000000000004"/>
    <n v="11.4"/>
    <n v="6"/>
    <x v="0"/>
  </r>
  <r>
    <n v="7.1"/>
    <n v="0.27"/>
    <n v="0.6"/>
    <n v="2.1"/>
    <n v="7.3999999999999996E-2"/>
    <n v="17"/>
    <n v="25"/>
    <n v="0.99814000000000003"/>
    <n v="3.38"/>
    <n v="0.72"/>
    <n v="10.6"/>
    <n v="6"/>
    <x v="0"/>
  </r>
  <r>
    <n v="7.9"/>
    <n v="0.18"/>
    <n v="0.4"/>
    <n v="1.8"/>
    <n v="6.2E-2"/>
    <n v="7"/>
    <n v="20"/>
    <n v="0.99409999999999998"/>
    <n v="3.28"/>
    <n v="0.7"/>
    <n v="11.1"/>
    <n v="5"/>
    <x v="0"/>
  </r>
  <r>
    <n v="6.4"/>
    <n v="0.36"/>
    <n v="0.21"/>
    <n v="2.2000000000000002"/>
    <n v="4.7E-2"/>
    <n v="26"/>
    <n v="48"/>
    <n v="0.99661"/>
    <n v="3.47"/>
    <n v="0.77"/>
    <n v="9.6999999999999993"/>
    <n v="6"/>
    <x v="0"/>
  </r>
  <r>
    <n v="7.1"/>
    <n v="0.69"/>
    <n v="0.04"/>
    <n v="2.1"/>
    <n v="6.8000000000000005E-2"/>
    <n v="19"/>
    <n v="27"/>
    <n v="0.99712000000000001"/>
    <n v="3.44"/>
    <n v="0.67"/>
    <n v="9.8000000000000007"/>
    <n v="5"/>
    <x v="0"/>
  </r>
  <r>
    <n v="6.4"/>
    <n v="0.79"/>
    <n v="0.04"/>
    <n v="2.2000000000000002"/>
    <n v="6.0999999999999999E-2"/>
    <n v="11"/>
    <n v="17"/>
    <n v="0.99587999999999999"/>
    <n v="3.53"/>
    <n v="0.65"/>
    <n v="10.4"/>
    <n v="6"/>
    <x v="0"/>
  </r>
  <r>
    <n v="6.4"/>
    <n v="0.56000000000000005"/>
    <n v="0.15"/>
    <n v="1.8"/>
    <n v="7.8E-2"/>
    <n v="17"/>
    <n v="65"/>
    <n v="0.99294000000000004"/>
    <n v="3.33"/>
    <n v="0.6"/>
    <n v="10.5"/>
    <n v="6"/>
    <x v="0"/>
  </r>
  <r>
    <n v="6.9"/>
    <n v="0.84"/>
    <n v="0.21"/>
    <n v="4.0999999999999996"/>
    <n v="7.3999999999999996E-2"/>
    <n v="16"/>
    <n v="65"/>
    <n v="0.99841999999999997"/>
    <n v="3.53"/>
    <n v="0.72"/>
    <n v="9.2333333333333307"/>
    <n v="6"/>
    <x v="0"/>
  </r>
  <r>
    <n v="6.9"/>
    <n v="0.84"/>
    <n v="0.21"/>
    <n v="4.0999999999999996"/>
    <n v="7.3999999999999996E-2"/>
    <n v="16"/>
    <n v="65"/>
    <n v="0.99841999999999997"/>
    <n v="3.53"/>
    <n v="0.72"/>
    <n v="9.25"/>
    <n v="6"/>
    <x v="0"/>
  </r>
  <r>
    <n v="6.1"/>
    <n v="0.32"/>
    <n v="0.25"/>
    <n v="2.2999999999999998"/>
    <n v="7.0999999999999994E-2"/>
    <n v="23"/>
    <n v="58"/>
    <n v="0.99633000000000005"/>
    <n v="3.42"/>
    <n v="0.97"/>
    <n v="10.6"/>
    <n v="5"/>
    <x v="0"/>
  </r>
  <r>
    <n v="6.5"/>
    <n v="0.53"/>
    <n v="0.06"/>
    <n v="2"/>
    <n v="6.3E-2"/>
    <n v="29"/>
    <n v="44"/>
    <n v="0.99489000000000005"/>
    <n v="3.38"/>
    <n v="0.83"/>
    <n v="10.3"/>
    <n v="6"/>
    <x v="0"/>
  </r>
  <r>
    <n v="7.4"/>
    <n v="0.47"/>
    <n v="0.46"/>
    <n v="2.2000000000000002"/>
    <n v="0.114"/>
    <n v="7"/>
    <n v="20"/>
    <n v="0.99646999999999997"/>
    <n v="3.32"/>
    <n v="0.63"/>
    <n v="10.5"/>
    <n v="5"/>
    <x v="0"/>
  </r>
  <r>
    <n v="6.6"/>
    <n v="0.7"/>
    <n v="0.08"/>
    <n v="2.6"/>
    <n v="0.106"/>
    <n v="14"/>
    <n v="27"/>
    <n v="0.99665000000000004"/>
    <n v="3.44"/>
    <n v="0.57999999999999996"/>
    <n v="10.199999999999999"/>
    <n v="5"/>
    <x v="0"/>
  </r>
  <r>
    <n v="6.5"/>
    <n v="0.53"/>
    <n v="0.06"/>
    <n v="2"/>
    <n v="6.3E-2"/>
    <n v="29"/>
    <n v="44"/>
    <n v="0.99489000000000005"/>
    <n v="3.38"/>
    <n v="0.83"/>
    <n v="10.3"/>
    <n v="6"/>
    <x v="0"/>
  </r>
  <r>
    <n v="6.9"/>
    <n v="0.48"/>
    <n v="0.2"/>
    <n v="1.9"/>
    <n v="8.2000000000000003E-2"/>
    <n v="9"/>
    <n v="23"/>
    <n v="0.99585000000000001"/>
    <n v="3.39"/>
    <n v="0.43"/>
    <n v="9.0500000000000007"/>
    <n v="4"/>
    <x v="2"/>
  </r>
  <r>
    <n v="6.1"/>
    <n v="0.32"/>
    <n v="0.25"/>
    <n v="2.2999999999999998"/>
    <n v="7.0999999999999994E-2"/>
    <n v="23"/>
    <n v="58"/>
    <n v="0.99633000000000005"/>
    <n v="3.42"/>
    <n v="0.97"/>
    <n v="10.6"/>
    <n v="5"/>
    <x v="0"/>
  </r>
  <r>
    <n v="6.8"/>
    <n v="0.48"/>
    <n v="0.25"/>
    <n v="2"/>
    <n v="7.5999999999999998E-2"/>
    <n v="29"/>
    <n v="61"/>
    <n v="0.99529999999999996"/>
    <n v="3.34"/>
    <n v="0.6"/>
    <n v="10.4"/>
    <n v="5"/>
    <x v="0"/>
  </r>
  <r>
    <n v="6"/>
    <n v="0.42"/>
    <n v="0.19"/>
    <n v="2"/>
    <n v="7.4999999999999997E-2"/>
    <n v="22"/>
    <n v="47"/>
    <n v="0.99521999999999999"/>
    <n v="3.39"/>
    <n v="0.78"/>
    <n v="10"/>
    <n v="6"/>
    <x v="0"/>
  </r>
  <r>
    <n v="6.7"/>
    <n v="0.48"/>
    <n v="0.08"/>
    <n v="2.1"/>
    <n v="6.4000000000000001E-2"/>
    <n v="18"/>
    <n v="34"/>
    <n v="0.99551999999999996"/>
    <n v="3.33"/>
    <n v="0.64"/>
    <n v="9.6999999999999993"/>
    <n v="5"/>
    <x v="0"/>
  </r>
  <r>
    <n v="6.8"/>
    <n v="0.47"/>
    <n v="0.08"/>
    <n v="2.2000000000000002"/>
    <n v="6.4000000000000001E-2"/>
    <n v="18"/>
    <n v="38"/>
    <n v="0.99553000000000003"/>
    <n v="3.3"/>
    <n v="0.65"/>
    <n v="9.6"/>
    <n v="6"/>
    <x v="0"/>
  </r>
  <r>
    <n v="7.1"/>
    <n v="0.53"/>
    <n v="7.0000000000000007E-2"/>
    <n v="1.7"/>
    <n v="7.0999999999999994E-2"/>
    <n v="15"/>
    <n v="24"/>
    <n v="0.99509999999999998"/>
    <n v="3.29"/>
    <n v="0.66"/>
    <n v="10.8"/>
    <n v="6"/>
    <x v="0"/>
  </r>
  <r>
    <n v="7.9"/>
    <n v="0.28999999999999998"/>
    <n v="0.49"/>
    <n v="2.2000000000000002"/>
    <n v="9.6000000000000002E-2"/>
    <n v="21"/>
    <n v="59"/>
    <n v="0.99714000000000003"/>
    <n v="3.31"/>
    <n v="0.67"/>
    <n v="10.1"/>
    <n v="6"/>
    <x v="0"/>
  </r>
  <r>
    <n v="7.1"/>
    <n v="0.69"/>
    <n v="0.08"/>
    <n v="2.1"/>
    <n v="6.3E-2"/>
    <n v="42"/>
    <n v="52"/>
    <n v="0.99607999999999997"/>
    <n v="3.42"/>
    <n v="0.6"/>
    <n v="10.199999999999999"/>
    <n v="6"/>
    <x v="0"/>
  </r>
  <r>
    <n v="6.6"/>
    <n v="0.44"/>
    <n v="0.09"/>
    <n v="2.2000000000000002"/>
    <n v="6.3E-2"/>
    <n v="9"/>
    <n v="18"/>
    <n v="0.99443999999999999"/>
    <n v="3.42"/>
    <n v="0.69"/>
    <n v="11.3"/>
    <n v="6"/>
    <x v="0"/>
  </r>
  <r>
    <n v="6.1"/>
    <n v="0.70499999999999996"/>
    <n v="0.1"/>
    <n v="2.8"/>
    <n v="8.1000000000000003E-2"/>
    <n v="13"/>
    <n v="28"/>
    <n v="0.99631000000000003"/>
    <n v="3.6"/>
    <n v="0.66"/>
    <n v="10.199999999999999"/>
    <n v="5"/>
    <x v="0"/>
  </r>
  <r>
    <n v="7.2"/>
    <n v="0.53"/>
    <n v="0.13"/>
    <n v="2"/>
    <n v="5.8000000000000003E-2"/>
    <n v="18"/>
    <n v="22"/>
    <n v="0.99573"/>
    <n v="3.21"/>
    <n v="0.68"/>
    <n v="9.9"/>
    <n v="6"/>
    <x v="0"/>
  </r>
  <r>
    <n v="8"/>
    <n v="0.39"/>
    <n v="0.3"/>
    <n v="1.9"/>
    <n v="7.3999999999999996E-2"/>
    <n v="32"/>
    <n v="84"/>
    <n v="0.99717"/>
    <n v="3.39"/>
    <n v="0.61"/>
    <n v="9"/>
    <n v="5"/>
    <x v="0"/>
  </r>
  <r>
    <n v="6.6"/>
    <n v="0.56000000000000005"/>
    <n v="0.14000000000000001"/>
    <n v="2.4"/>
    <n v="6.4000000000000001E-2"/>
    <n v="13"/>
    <n v="29"/>
    <n v="0.99397000000000002"/>
    <n v="3.42"/>
    <n v="0.62"/>
    <n v="11.7"/>
    <n v="7"/>
    <x v="1"/>
  </r>
  <r>
    <n v="7"/>
    <n v="0.55000000000000004"/>
    <n v="0.13"/>
    <n v="2.2000000000000002"/>
    <n v="7.4999999999999997E-2"/>
    <n v="15"/>
    <n v="35"/>
    <n v="0.99590000000000001"/>
    <n v="3.36"/>
    <n v="0.59"/>
    <n v="9.6999999999999993"/>
    <n v="6"/>
    <x v="0"/>
  </r>
  <r>
    <n v="6.1"/>
    <n v="0.53"/>
    <n v="0.08"/>
    <n v="1.9"/>
    <n v="7.6999999999999999E-2"/>
    <n v="24"/>
    <n v="45"/>
    <n v="0.99528000000000005"/>
    <n v="3.6"/>
    <n v="0.68"/>
    <n v="10.3"/>
    <n v="6"/>
    <x v="0"/>
  </r>
  <r>
    <n v="5.4"/>
    <n v="0.57999999999999996"/>
    <n v="0.08"/>
    <n v="1.9"/>
    <n v="5.8999999999999997E-2"/>
    <n v="20"/>
    <n v="31"/>
    <n v="0.99483999999999995"/>
    <n v="3.5"/>
    <n v="0.64"/>
    <n v="10.199999999999999"/>
    <n v="6"/>
    <x v="0"/>
  </r>
  <r>
    <n v="6.2"/>
    <n v="0.64"/>
    <n v="0.09"/>
    <n v="2.5"/>
    <n v="8.1000000000000003E-2"/>
    <n v="15"/>
    <n v="26"/>
    <n v="0.99538000000000004"/>
    <n v="3.57"/>
    <n v="0.63"/>
    <n v="12"/>
    <n v="5"/>
    <x v="0"/>
  </r>
  <r>
    <n v="7.2"/>
    <n v="0.39"/>
    <n v="0.32"/>
    <n v="1.8"/>
    <n v="6.5000000000000002E-2"/>
    <n v="34"/>
    <n v="60"/>
    <n v="0.99714000000000003"/>
    <n v="3.46"/>
    <n v="0.78"/>
    <n v="9.9"/>
    <n v="5"/>
    <x v="0"/>
  </r>
  <r>
    <n v="6.2"/>
    <n v="0.52"/>
    <n v="0.08"/>
    <n v="4.4000000000000004"/>
    <n v="7.0999999999999994E-2"/>
    <n v="11"/>
    <n v="32"/>
    <n v="0.99646000000000001"/>
    <n v="3.56"/>
    <n v="0.63"/>
    <n v="11.6"/>
    <n v="6"/>
    <x v="0"/>
  </r>
  <r>
    <n v="7.4"/>
    <n v="0.25"/>
    <n v="0.28999999999999998"/>
    <n v="2.2000000000000002"/>
    <n v="5.3999999999999999E-2"/>
    <n v="19"/>
    <n v="49"/>
    <n v="0.99665999999999999"/>
    <n v="3.4"/>
    <n v="0.76"/>
    <n v="10.9"/>
    <n v="7"/>
    <x v="1"/>
  </r>
  <r>
    <n v="6.7"/>
    <n v="0.85499999999999998"/>
    <n v="0.02"/>
    <n v="1.9"/>
    <n v="6.4000000000000001E-2"/>
    <n v="29"/>
    <n v="38"/>
    <n v="0.99472000000000005"/>
    <n v="3.3"/>
    <n v="0.56000000000000005"/>
    <n v="10.75"/>
    <n v="6"/>
    <x v="0"/>
  </r>
  <r>
    <n v="11.1"/>
    <n v="0.44"/>
    <n v="0.42"/>
    <n v="2.2000000000000002"/>
    <n v="6.4000000000000001E-2"/>
    <n v="14"/>
    <n v="19"/>
    <n v="0.99758000000000002"/>
    <n v="3.25"/>
    <n v="0.56999999999999995"/>
    <n v="10.4"/>
    <n v="6"/>
    <x v="0"/>
  </r>
  <r>
    <n v="8.4"/>
    <n v="0.37"/>
    <n v="0.43"/>
    <n v="2.2999999999999998"/>
    <n v="6.3E-2"/>
    <n v="12"/>
    <n v="19"/>
    <n v="0.99550000000000005"/>
    <n v="3.17"/>
    <n v="0.81"/>
    <n v="11.2"/>
    <n v="7"/>
    <x v="1"/>
  </r>
  <r>
    <n v="6.5"/>
    <n v="0.63"/>
    <n v="0.33"/>
    <n v="1.8"/>
    <n v="5.8999999999999997E-2"/>
    <n v="16"/>
    <n v="28"/>
    <n v="0.99531000000000003"/>
    <n v="3.36"/>
    <n v="0.64"/>
    <n v="10.1"/>
    <n v="6"/>
    <x v="0"/>
  </r>
  <r>
    <n v="7"/>
    <n v="0.56999999999999995"/>
    <n v="0.02"/>
    <n v="2"/>
    <n v="7.1999999999999995E-2"/>
    <n v="17"/>
    <n v="26"/>
    <n v="0.99575000000000002"/>
    <n v="3.36"/>
    <n v="0.61"/>
    <n v="10.199999999999999"/>
    <n v="5"/>
    <x v="0"/>
  </r>
  <r>
    <n v="6.3"/>
    <n v="0.6"/>
    <n v="0.1"/>
    <n v="1.6"/>
    <n v="4.8000000000000001E-2"/>
    <n v="12"/>
    <n v="26"/>
    <n v="0.99306000000000005"/>
    <n v="3.55"/>
    <n v="0.51"/>
    <n v="12.1"/>
    <n v="5"/>
    <x v="0"/>
  </r>
  <r>
    <n v="11.2"/>
    <n v="0.4"/>
    <n v="0.5"/>
    <n v="2"/>
    <n v="9.9000000000000005E-2"/>
    <n v="19"/>
    <n v="50"/>
    <n v="0.99782999999999999"/>
    <n v="3.1"/>
    <n v="0.57999999999999996"/>
    <n v="10.4"/>
    <n v="5"/>
    <x v="0"/>
  </r>
  <r>
    <n v="7.4"/>
    <n v="0.36"/>
    <n v="0.3"/>
    <n v="1.8"/>
    <n v="7.3999999999999996E-2"/>
    <n v="17"/>
    <n v="24"/>
    <n v="0.99419000000000002"/>
    <n v="3.24"/>
    <n v="0.7"/>
    <n v="11.4"/>
    <n v="8"/>
    <x v="1"/>
  </r>
  <r>
    <n v="7.1"/>
    <n v="0.68"/>
    <n v="0"/>
    <n v="2.2999999999999998"/>
    <n v="8.6999999999999994E-2"/>
    <n v="17"/>
    <n v="26"/>
    <n v="0.99782999999999999"/>
    <n v="3.45"/>
    <n v="0.53"/>
    <n v="9.5"/>
    <n v="5"/>
    <x v="0"/>
  </r>
  <r>
    <n v="7.1"/>
    <n v="0.67"/>
    <n v="0"/>
    <n v="2.2999999999999998"/>
    <n v="8.3000000000000004E-2"/>
    <n v="18"/>
    <n v="27"/>
    <n v="0.99768000000000001"/>
    <n v="3.44"/>
    <n v="0.54"/>
    <n v="9.4"/>
    <n v="5"/>
    <x v="0"/>
  </r>
  <r>
    <n v="6.3"/>
    <n v="0.68"/>
    <n v="0.01"/>
    <n v="3.7"/>
    <n v="0.10299999999999999"/>
    <n v="32"/>
    <n v="54"/>
    <n v="0.99585999999999997"/>
    <n v="3.51"/>
    <n v="0.66"/>
    <n v="11.3"/>
    <n v="6"/>
    <x v="0"/>
  </r>
  <r>
    <n v="7.3"/>
    <n v="0.73499999999999999"/>
    <n v="0"/>
    <n v="2.2000000000000002"/>
    <n v="0.08"/>
    <n v="18"/>
    <n v="28"/>
    <n v="0.99765000000000004"/>
    <n v="3.41"/>
    <n v="0.6"/>
    <n v="9.4"/>
    <n v="5"/>
    <x v="0"/>
  </r>
  <r>
    <n v="6.6"/>
    <n v="0.85499999999999998"/>
    <n v="0.02"/>
    <n v="2.4"/>
    <n v="6.2E-2"/>
    <n v="15"/>
    <n v="23"/>
    <n v="0.99626999999999999"/>
    <n v="3.54"/>
    <n v="0.6"/>
    <n v="11"/>
    <n v="6"/>
    <x v="0"/>
  </r>
  <r>
    <n v="7"/>
    <n v="0.56000000000000005"/>
    <n v="0.17"/>
    <n v="1.7"/>
    <n v="6.5000000000000002E-2"/>
    <n v="15"/>
    <n v="24"/>
    <n v="0.99514000000000002"/>
    <n v="3.44"/>
    <n v="0.68"/>
    <n v="10.55"/>
    <n v="7"/>
    <x v="1"/>
  </r>
  <r>
    <n v="6.6"/>
    <n v="0.88"/>
    <n v="0.04"/>
    <n v="2.2000000000000002"/>
    <n v="6.6000000000000003E-2"/>
    <n v="12"/>
    <n v="20"/>
    <n v="0.99636000000000002"/>
    <n v="3.53"/>
    <n v="0.56000000000000005"/>
    <n v="9.9"/>
    <n v="5"/>
    <x v="0"/>
  </r>
  <r>
    <n v="6.6"/>
    <n v="0.85499999999999998"/>
    <n v="0.02"/>
    <n v="2.4"/>
    <n v="6.2E-2"/>
    <n v="15"/>
    <n v="23"/>
    <n v="0.99626999999999999"/>
    <n v="3.54"/>
    <n v="0.6"/>
    <n v="11"/>
    <n v="6"/>
    <x v="0"/>
  </r>
  <r>
    <n v="6.9"/>
    <n v="0.63"/>
    <n v="0.33"/>
    <n v="6.7"/>
    <n v="0.23499999999999999"/>
    <n v="66"/>
    <n v="115"/>
    <n v="0.99787000000000003"/>
    <n v="3.22"/>
    <n v="0.56000000000000005"/>
    <n v="9.5"/>
    <n v="5"/>
    <x v="0"/>
  </r>
  <r>
    <n v="7.8"/>
    <n v="0.6"/>
    <n v="0.26"/>
    <n v="2"/>
    <n v="0.08"/>
    <n v="31"/>
    <n v="131"/>
    <n v="0.99621999999999999"/>
    <n v="3.21"/>
    <n v="0.52"/>
    <n v="9.9"/>
    <n v="5"/>
    <x v="0"/>
  </r>
  <r>
    <n v="7.8"/>
    <n v="0.6"/>
    <n v="0.26"/>
    <n v="2"/>
    <n v="0.08"/>
    <n v="31"/>
    <n v="131"/>
    <n v="0.99621999999999999"/>
    <n v="3.21"/>
    <n v="0.52"/>
    <n v="9.9"/>
    <n v="5"/>
    <x v="0"/>
  </r>
  <r>
    <n v="7.8"/>
    <n v="0.6"/>
    <n v="0.26"/>
    <n v="2"/>
    <n v="0.08"/>
    <n v="31"/>
    <n v="131"/>
    <n v="0.99621999999999999"/>
    <n v="3.21"/>
    <n v="0.52"/>
    <n v="9.9"/>
    <n v="5"/>
    <x v="0"/>
  </r>
  <r>
    <n v="7.2"/>
    <n v="0.69499999999999995"/>
    <n v="0.13"/>
    <n v="2"/>
    <n v="7.5999999999999998E-2"/>
    <n v="12"/>
    <n v="20"/>
    <n v="0.99546000000000001"/>
    <n v="3.29"/>
    <n v="0.54"/>
    <n v="10.1"/>
    <n v="5"/>
    <x v="0"/>
  </r>
  <r>
    <n v="7.2"/>
    <n v="0.69499999999999995"/>
    <n v="0.13"/>
    <n v="2"/>
    <n v="7.5999999999999998E-2"/>
    <n v="12"/>
    <n v="20"/>
    <n v="0.99546000000000001"/>
    <n v="3.29"/>
    <n v="0.54"/>
    <n v="10.1"/>
    <n v="5"/>
    <x v="0"/>
  </r>
  <r>
    <n v="7.2"/>
    <n v="0.69499999999999995"/>
    <n v="0.13"/>
    <n v="2"/>
    <n v="7.5999999999999998E-2"/>
    <n v="12"/>
    <n v="20"/>
    <n v="0.99546000000000001"/>
    <n v="3.29"/>
    <n v="0.54"/>
    <n v="10.1"/>
    <n v="5"/>
    <x v="0"/>
  </r>
  <r>
    <n v="6.7"/>
    <n v="0.67"/>
    <n v="0.02"/>
    <n v="1.9"/>
    <n v="6.0999999999999999E-2"/>
    <n v="26"/>
    <n v="42"/>
    <n v="0.99489000000000005"/>
    <n v="3.39"/>
    <n v="0.82"/>
    <n v="10.9"/>
    <n v="6"/>
    <x v="0"/>
  </r>
  <r>
    <n v="6.7"/>
    <n v="0.16"/>
    <n v="0.64"/>
    <n v="2.1"/>
    <n v="5.8999999999999997E-2"/>
    <n v="24"/>
    <n v="52"/>
    <n v="0.99494000000000005"/>
    <n v="3.34"/>
    <n v="0.71"/>
    <n v="11.2"/>
    <n v="6"/>
    <x v="0"/>
  </r>
  <r>
    <n v="7.2"/>
    <n v="0.69499999999999995"/>
    <n v="0.13"/>
    <n v="2"/>
    <n v="7.5999999999999998E-2"/>
    <n v="12"/>
    <n v="20"/>
    <n v="0.99546000000000001"/>
    <n v="3.29"/>
    <n v="0.54"/>
    <n v="10.1"/>
    <n v="5"/>
    <x v="0"/>
  </r>
  <r>
    <n v="7"/>
    <n v="0.56000000000000005"/>
    <n v="0.13"/>
    <n v="1.6"/>
    <n v="7.6999999999999999E-2"/>
    <n v="25"/>
    <n v="42"/>
    <n v="0.99629000000000001"/>
    <n v="3.34"/>
    <n v="0.59"/>
    <n v="9.1999999999999993"/>
    <n v="5"/>
    <x v="0"/>
  </r>
  <r>
    <n v="6.2"/>
    <n v="0.51"/>
    <n v="0.14000000000000001"/>
    <n v="1.9"/>
    <n v="5.6000000000000001E-2"/>
    <n v="15"/>
    <n v="34"/>
    <n v="0.99395999999999995"/>
    <n v="3.48"/>
    <n v="0.56999999999999995"/>
    <n v="11.5"/>
    <n v="6"/>
    <x v="0"/>
  </r>
  <r>
    <n v="6.4"/>
    <n v="0.36"/>
    <n v="0.53"/>
    <n v="2.2000000000000002"/>
    <n v="0.23"/>
    <n v="19"/>
    <n v="35"/>
    <n v="0.99339999999999995"/>
    <n v="3.37"/>
    <n v="0.93"/>
    <n v="12.4"/>
    <n v="6"/>
    <x v="0"/>
  </r>
  <r>
    <n v="6.4"/>
    <n v="0.38"/>
    <n v="0.14000000000000001"/>
    <n v="2.2000000000000002"/>
    <n v="3.7999999999999999E-2"/>
    <n v="15"/>
    <n v="25"/>
    <n v="0.99514000000000002"/>
    <n v="3.44"/>
    <n v="0.65"/>
    <n v="11.1"/>
    <n v="6"/>
    <x v="0"/>
  </r>
  <r>
    <n v="7.3"/>
    <n v="0.69"/>
    <n v="0.32"/>
    <n v="2.2000000000000002"/>
    <n v="6.9000000000000006E-2"/>
    <n v="35"/>
    <n v="104"/>
    <n v="0.99631999999999998"/>
    <n v="3.33"/>
    <n v="0.51"/>
    <n v="9.5"/>
    <n v="5"/>
    <x v="0"/>
  </r>
  <r>
    <n v="6"/>
    <n v="0.57999999999999996"/>
    <n v="0.2"/>
    <n v="2.4"/>
    <n v="7.4999999999999997E-2"/>
    <n v="15"/>
    <n v="50"/>
    <n v="0.99467000000000005"/>
    <n v="3.58"/>
    <n v="0.67"/>
    <n v="12.5"/>
    <n v="6"/>
    <x v="0"/>
  </r>
  <r>
    <n v="5.6"/>
    <n v="0.31"/>
    <n v="0.78"/>
    <n v="13.9"/>
    <n v="7.3999999999999996E-2"/>
    <n v="23"/>
    <n v="92"/>
    <n v="0.99677000000000004"/>
    <n v="3.39"/>
    <n v="0.48"/>
    <n v="10.5"/>
    <n v="6"/>
    <x v="0"/>
  </r>
  <r>
    <n v="7.5"/>
    <n v="0.52"/>
    <n v="0.4"/>
    <n v="2.2000000000000002"/>
    <n v="0.06"/>
    <n v="12"/>
    <n v="20"/>
    <n v="0.99473999999999996"/>
    <n v="3.26"/>
    <n v="0.64"/>
    <n v="11.8"/>
    <n v="6"/>
    <x v="0"/>
  </r>
  <r>
    <n v="8"/>
    <n v="0.3"/>
    <n v="0.63"/>
    <n v="1.6"/>
    <n v="8.1000000000000003E-2"/>
    <n v="16"/>
    <n v="29"/>
    <n v="0.99587999999999999"/>
    <n v="3.3"/>
    <n v="0.78"/>
    <n v="10.8"/>
    <n v="6"/>
    <x v="0"/>
  </r>
  <r>
    <n v="6.2"/>
    <n v="0.7"/>
    <n v="0.15"/>
    <n v="5.0999999999999996"/>
    <n v="7.5999999999999998E-2"/>
    <n v="13"/>
    <n v="27"/>
    <n v="0.99621999999999999"/>
    <n v="3.54"/>
    <n v="0.6"/>
    <n v="11.9"/>
    <n v="6"/>
    <x v="0"/>
  </r>
  <r>
    <n v="6.8"/>
    <n v="0.67"/>
    <n v="0.15"/>
    <n v="1.8"/>
    <n v="0.11799999999999999"/>
    <n v="13"/>
    <n v="20"/>
    <n v="0.99539999999999995"/>
    <n v="3.42"/>
    <n v="0.67"/>
    <n v="11.3"/>
    <n v="6"/>
    <x v="0"/>
  </r>
  <r>
    <n v="6.2"/>
    <n v="0.56000000000000005"/>
    <n v="0.09"/>
    <n v="1.7"/>
    <n v="5.2999999999999999E-2"/>
    <n v="24"/>
    <n v="32"/>
    <n v="0.99402000000000001"/>
    <n v="3.54"/>
    <n v="0.6"/>
    <n v="11.3"/>
    <n v="5"/>
    <x v="0"/>
  </r>
  <r>
    <n v="7.4"/>
    <n v="0.35"/>
    <n v="0.33"/>
    <n v="2.4"/>
    <n v="6.8000000000000005E-2"/>
    <n v="9"/>
    <n v="26"/>
    <n v="0.99470000000000003"/>
    <n v="3.36"/>
    <n v="0.6"/>
    <n v="11.9"/>
    <n v="6"/>
    <x v="0"/>
  </r>
  <r>
    <n v="6.2"/>
    <n v="0.56000000000000005"/>
    <n v="0.09"/>
    <n v="1.7"/>
    <n v="5.2999999999999999E-2"/>
    <n v="24"/>
    <n v="32"/>
    <n v="0.99402000000000001"/>
    <n v="3.54"/>
    <n v="0.6"/>
    <n v="11.3"/>
    <n v="5"/>
    <x v="0"/>
  </r>
  <r>
    <n v="6.1"/>
    <n v="0.71499999999999997"/>
    <n v="0.1"/>
    <n v="2.6"/>
    <n v="5.2999999999999999E-2"/>
    <n v="13"/>
    <n v="27"/>
    <n v="0.99361999999999995"/>
    <n v="3.57"/>
    <n v="0.5"/>
    <n v="11.9"/>
    <n v="5"/>
    <x v="0"/>
  </r>
  <r>
    <n v="6.2"/>
    <n v="0.46"/>
    <n v="0.28999999999999998"/>
    <n v="2.1"/>
    <n v="7.3999999999999996E-2"/>
    <n v="32"/>
    <n v="98"/>
    <n v="0.99578"/>
    <n v="3.33"/>
    <n v="0.62"/>
    <n v="9.8000000000000007"/>
    <n v="5"/>
    <x v="0"/>
  </r>
  <r>
    <n v="6.7"/>
    <n v="0.32"/>
    <n v="0.44"/>
    <n v="2.4"/>
    <n v="6.0999999999999999E-2"/>
    <n v="24"/>
    <n v="34"/>
    <n v="0.99483999999999995"/>
    <n v="3.29"/>
    <n v="0.8"/>
    <n v="11.6"/>
    <n v="7"/>
    <x v="1"/>
  </r>
  <r>
    <n v="7.2"/>
    <n v="0.39"/>
    <n v="0.44"/>
    <n v="2.6"/>
    <n v="6.6000000000000003E-2"/>
    <n v="22"/>
    <n v="48"/>
    <n v="0.99494000000000005"/>
    <n v="3.3"/>
    <n v="0.84"/>
    <n v="11.5"/>
    <n v="6"/>
    <x v="0"/>
  </r>
  <r>
    <n v="7.5"/>
    <n v="0.31"/>
    <n v="0.41"/>
    <n v="2.4"/>
    <n v="6.5000000000000002E-2"/>
    <n v="34"/>
    <n v="60"/>
    <n v="0.99492000000000003"/>
    <n v="3.34"/>
    <n v="0.85"/>
    <n v="11.4"/>
    <n v="6"/>
    <x v="0"/>
  </r>
  <r>
    <n v="5.8"/>
    <n v="0.61"/>
    <n v="0.11"/>
    <n v="1.8"/>
    <n v="6.6000000000000003E-2"/>
    <n v="18"/>
    <n v="28"/>
    <n v="0.99482999999999999"/>
    <n v="3.55"/>
    <n v="0.66"/>
    <n v="10.9"/>
    <n v="6"/>
    <x v="0"/>
  </r>
  <r>
    <n v="7.2"/>
    <n v="0.66"/>
    <n v="0.33"/>
    <n v="2.5"/>
    <n v="6.8000000000000005E-2"/>
    <n v="34"/>
    <n v="102"/>
    <n v="0.99414000000000002"/>
    <n v="3.27"/>
    <n v="0.78"/>
    <n v="12.8"/>
    <n v="6"/>
    <x v="0"/>
  </r>
  <r>
    <n v="6.6"/>
    <n v="0.72499999999999998"/>
    <n v="0.2"/>
    <n v="7.8"/>
    <n v="7.2999999999999995E-2"/>
    <n v="29"/>
    <n v="79"/>
    <n v="0.99770000000000003"/>
    <n v="3.29"/>
    <n v="0.54"/>
    <n v="9.1999999999999993"/>
    <n v="5"/>
    <x v="0"/>
  </r>
  <r>
    <n v="6.3"/>
    <n v="0.55000000000000004"/>
    <n v="0.15"/>
    <n v="1.8"/>
    <n v="7.6999999999999999E-2"/>
    <n v="26"/>
    <n v="35"/>
    <n v="0.99314000000000002"/>
    <n v="3.32"/>
    <n v="0.82"/>
    <n v="11.6"/>
    <n v="6"/>
    <x v="0"/>
  </r>
  <r>
    <n v="5.4"/>
    <n v="0.74"/>
    <n v="0.09"/>
    <n v="1.7"/>
    <n v="8.8999999999999996E-2"/>
    <n v="16"/>
    <n v="26"/>
    <n v="0.99402000000000001"/>
    <n v="3.67"/>
    <n v="0.56000000000000005"/>
    <n v="11.6"/>
    <n v="6"/>
    <x v="0"/>
  </r>
  <r>
    <n v="6.3"/>
    <n v="0.51"/>
    <n v="0.13"/>
    <n v="2.2999999999999998"/>
    <n v="7.5999999999999998E-2"/>
    <n v="29"/>
    <n v="40"/>
    <n v="0.99573999999999996"/>
    <n v="3.42"/>
    <n v="0.75"/>
    <n v="11"/>
    <n v="6"/>
    <x v="0"/>
  </r>
  <r>
    <n v="6.8"/>
    <n v="0.62"/>
    <n v="0.08"/>
    <n v="1.9"/>
    <n v="6.8000000000000005E-2"/>
    <n v="28"/>
    <n v="38"/>
    <n v="0.99651000000000001"/>
    <n v="3.42"/>
    <n v="0.82"/>
    <n v="9.5"/>
    <n v="6"/>
    <x v="0"/>
  </r>
  <r>
    <n v="6.2"/>
    <n v="0.6"/>
    <n v="0.08"/>
    <n v="2"/>
    <n v="0.09"/>
    <n v="32"/>
    <n v="44"/>
    <n v="0.99490000000000001"/>
    <n v="3.45"/>
    <n v="0.57999999999999996"/>
    <n v="10.5"/>
    <n v="5"/>
    <x v="0"/>
  </r>
  <r>
    <n v="5.9"/>
    <n v="0.55000000000000004"/>
    <n v="0.1"/>
    <n v="2.2000000000000002"/>
    <n v="6.2E-2"/>
    <n v="39"/>
    <n v="51"/>
    <n v="0.99512"/>
    <n v="3.52"/>
    <n v="0.76"/>
    <n v="11.2"/>
    <n v="6"/>
    <x v="0"/>
  </r>
  <r>
    <n v="6.3"/>
    <n v="0.51"/>
    <n v="0.13"/>
    <n v="2.2999999999999998"/>
    <n v="7.5999999999999998E-2"/>
    <n v="29"/>
    <n v="40"/>
    <n v="0.99573999999999996"/>
    <n v="3.42"/>
    <n v="0.75"/>
    <n v="11"/>
    <n v="6"/>
    <x v="0"/>
  </r>
  <r>
    <n v="5.9"/>
    <n v="0.64500000000000002"/>
    <n v="0.12"/>
    <n v="2"/>
    <n v="7.4999999999999997E-2"/>
    <n v="32"/>
    <n v="44"/>
    <n v="0.99546999999999997"/>
    <n v="3.57"/>
    <n v="0.71"/>
    <n v="10.199999999999999"/>
    <n v="5"/>
    <x v="0"/>
  </r>
  <r>
    <n v="6"/>
    <n v="0.31"/>
    <n v="0.47"/>
    <n v="3.6"/>
    <n v="6.7000000000000004E-2"/>
    <n v="18"/>
    <n v="42"/>
    <n v="0.99548999999999999"/>
    <n v="3.39"/>
    <n v="0.66"/>
    <n v="11"/>
    <n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7" firstHeaderRow="0" firstDataRow="1" firstDataCol="1"/>
  <pivotFields count="1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axis="axisRow" dataField="1" showAll="0">
      <items count="4">
        <item x="1"/>
        <item x="2"/>
        <item x="0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Quality Group" fld="12" subtotal="count" baseField="0" baseItem="0"/>
    <dataField name="Average of alcohol" fld="10" subtotal="average" baseField="12" baseItem="0" numFmtId="2"/>
    <dataField name="Average of volatile acidity" fld="1" subtotal="average" baseField="12" baseItem="2" numFmtId="2"/>
    <dataField name="Average of sulphates" fld="9" subtotal="average" baseField="12" baseItem="2" numFmtId="2"/>
  </dataFields>
  <formats count="1">
    <format dxfId="2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M1600" totalsRowShown="0" headerRowDxfId="1">
  <autoFilter ref="A1:M1600"/>
  <tableColumns count="13">
    <tableColumn id="1" name="fixed acidity"/>
    <tableColumn id="2" name="volatile acidity"/>
    <tableColumn id="3" name="citric acid"/>
    <tableColumn id="4" name="residual sugar"/>
    <tableColumn id="5" name="chlorides"/>
    <tableColumn id="6" name="free sulfur dioxide"/>
    <tableColumn id="7" name="total sulfur dioxide"/>
    <tableColumn id="8" name="density"/>
    <tableColumn id="9" name="pH"/>
    <tableColumn id="10" name="sulphates"/>
    <tableColumn id="11" name="alcohol"/>
    <tableColumn id="12" name="quality"/>
    <tableColumn id="13" name="Quality Group">
      <calculatedColumnFormula>IF(L2&gt;=7,"High",IF(L2&gt;=5,"Medium","Low"))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O1:Q4" totalsRowShown="0" headerRowDxfId="0">
  <autoFilter ref="O1:Q4"/>
  <tableColumns count="3">
    <tableColumn id="1" name="Group"/>
    <tableColumn id="2" name="Samples">
      <calculatedColumnFormula>COUNTIF(M:M,O2)</calculatedColumnFormula>
    </tableColumn>
    <tableColumn id="3" name="Avg Alcohol">
      <calculatedColumnFormula>AVERAGEIFS(K:K,M:M,O2)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"/>
  <sheetViews>
    <sheetView workbookViewId="0">
      <selection activeCell="W11" sqref="W11"/>
    </sheetView>
  </sheetViews>
  <sheetFormatPr defaultRowHeight="14.5" x14ac:dyDescent="0.35"/>
  <cols>
    <col min="1" max="1" width="12.36328125" bestFit="1" customWidth="1"/>
    <col min="2" max="2" width="20.453125" bestFit="1" customWidth="1"/>
    <col min="3" max="3" width="16.26953125" bestFit="1" customWidth="1"/>
    <col min="4" max="4" width="22.453125" bestFit="1" customWidth="1"/>
    <col min="5" max="5" width="18.453125" bestFit="1" customWidth="1"/>
  </cols>
  <sheetData>
    <row r="3" spans="1:5" x14ac:dyDescent="0.35">
      <c r="A3" s="1" t="s">
        <v>19</v>
      </c>
      <c r="B3" t="s">
        <v>21</v>
      </c>
      <c r="C3" t="s">
        <v>22</v>
      </c>
      <c r="D3" t="s">
        <v>24</v>
      </c>
      <c r="E3" t="s">
        <v>23</v>
      </c>
    </row>
    <row r="4" spans="1:5" x14ac:dyDescent="0.35">
      <c r="A4" s="2" t="s">
        <v>16</v>
      </c>
      <c r="B4" s="3">
        <v>217</v>
      </c>
      <c r="C4" s="4">
        <v>11.518049155145922</v>
      </c>
      <c r="D4" s="4">
        <v>0.40552995391705077</v>
      </c>
      <c r="E4" s="4">
        <v>0.74345622119815646</v>
      </c>
    </row>
    <row r="5" spans="1:5" x14ac:dyDescent="0.35">
      <c r="A5" s="2" t="s">
        <v>18</v>
      </c>
      <c r="B5" s="3">
        <v>63</v>
      </c>
      <c r="C5" s="4">
        <v>10.215873015873015</v>
      </c>
      <c r="D5" s="4">
        <v>0.72420634920634863</v>
      </c>
      <c r="E5" s="4">
        <v>0.59222222222222209</v>
      </c>
    </row>
    <row r="6" spans="1:5" x14ac:dyDescent="0.35">
      <c r="A6" s="2" t="s">
        <v>17</v>
      </c>
      <c r="B6" s="3">
        <v>1319</v>
      </c>
      <c r="C6" s="4">
        <v>10.252716704574146</v>
      </c>
      <c r="D6" s="4">
        <v>0.53855951478392761</v>
      </c>
      <c r="E6" s="4">
        <v>0.64726307808946248</v>
      </c>
    </row>
    <row r="7" spans="1:5" x14ac:dyDescent="0.35">
      <c r="A7" s="2" t="s">
        <v>20</v>
      </c>
      <c r="B7" s="3">
        <v>1599</v>
      </c>
      <c r="C7" s="4">
        <v>10.422983114446499</v>
      </c>
      <c r="D7" s="4">
        <v>0.5278205128205129</v>
      </c>
      <c r="E7" s="4">
        <v>0.65814884302689136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zoomScale="44" workbookViewId="0">
      <selection activeCell="L3" sqref="L3"/>
    </sheetView>
  </sheetViews>
  <sheetFormatPr defaultRowHeight="14.5" x14ac:dyDescent="0.35"/>
  <cols>
    <col min="1" max="1" width="88.81640625" bestFit="1" customWidth="1"/>
  </cols>
  <sheetData>
    <row r="1" spans="1:1" x14ac:dyDescent="0.35">
      <c r="A1" s="7" t="s">
        <v>25</v>
      </c>
    </row>
    <row r="2" spans="1:1" x14ac:dyDescent="0.35">
      <c r="A2" s="6" t="s">
        <v>26</v>
      </c>
    </row>
    <row r="3" spans="1:1" x14ac:dyDescent="0.35">
      <c r="A3" s="6" t="s">
        <v>27</v>
      </c>
    </row>
    <row r="4" spans="1:1" x14ac:dyDescent="0.35">
      <c r="A4" s="6" t="s">
        <v>28</v>
      </c>
    </row>
    <row r="5" spans="1:1" x14ac:dyDescent="0.35">
      <c r="A5" s="6" t="s">
        <v>29</v>
      </c>
    </row>
    <row r="6" spans="1:1" x14ac:dyDescent="0.35">
      <c r="A6" s="6" t="s">
        <v>30</v>
      </c>
    </row>
    <row r="7" spans="1:1" x14ac:dyDescent="0.35">
      <c r="A7" s="6" t="s">
        <v>31</v>
      </c>
    </row>
    <row r="8" spans="1:1" x14ac:dyDescent="0.35">
      <c r="A8" s="6" t="s">
        <v>32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00"/>
  <sheetViews>
    <sheetView zoomScale="66" workbookViewId="0">
      <selection activeCell="V9" sqref="V9"/>
    </sheetView>
  </sheetViews>
  <sheetFormatPr defaultRowHeight="14.5" x14ac:dyDescent="0.35"/>
  <cols>
    <col min="1" max="1" width="13.36328125" customWidth="1"/>
    <col min="2" max="2" width="15.453125" customWidth="1"/>
    <col min="3" max="3" width="10.90625" customWidth="1"/>
    <col min="4" max="4" width="14.7265625" customWidth="1"/>
    <col min="5" max="5" width="10.7265625" customWidth="1"/>
    <col min="6" max="6" width="18.7265625" customWidth="1"/>
    <col min="7" max="7" width="19.1796875" customWidth="1"/>
    <col min="8" max="8" width="9.26953125" customWidth="1"/>
    <col min="9" max="9" width="5.26953125" customWidth="1"/>
    <col min="10" max="10" width="11.1796875" customWidth="1"/>
    <col min="11" max="11" width="11.81640625" bestFit="1" customWidth="1"/>
    <col min="12" max="12" width="8.81640625" customWidth="1"/>
    <col min="13" max="13" width="14.90625" customWidth="1"/>
    <col min="16" max="16" width="10.08984375" customWidth="1"/>
    <col min="17" max="17" width="12.90625" customWidth="1"/>
  </cols>
  <sheetData>
    <row r="1" spans="1:1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O1" s="5" t="s">
        <v>13</v>
      </c>
      <c r="P1" s="5" t="s">
        <v>14</v>
      </c>
      <c r="Q1" s="5" t="s">
        <v>15</v>
      </c>
    </row>
    <row r="2" spans="1:17" x14ac:dyDescent="0.35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  <c r="M2" t="str">
        <f>IF(L2&gt;=7,"High",IF(L2&gt;=5,"Medium","Low"))</f>
        <v>Medium</v>
      </c>
      <c r="O2" t="s">
        <v>16</v>
      </c>
      <c r="P2">
        <f>COUNTIF(M:M,O2)</f>
        <v>217</v>
      </c>
      <c r="Q2">
        <f>AVERAGEIFS(K:K,M:M,O2)</f>
        <v>11.518049155145922</v>
      </c>
    </row>
    <row r="3" spans="1:17" x14ac:dyDescent="0.35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  <c r="M3" t="str">
        <f t="shared" ref="M3:M66" si="0">IF(L3&gt;=7,"High",IF(L3&gt;=5,"Medium","Low"))</f>
        <v>Medium</v>
      </c>
      <c r="O3" t="s">
        <v>17</v>
      </c>
      <c r="P3">
        <f t="shared" ref="P3:P4" si="1">COUNTIF(M:M,O3)</f>
        <v>1319</v>
      </c>
      <c r="Q3">
        <f t="shared" ref="Q3:Q4" si="2">AVERAGEIFS(K:K,M:M,O3)</f>
        <v>10.252716704574146</v>
      </c>
    </row>
    <row r="4" spans="1:17" x14ac:dyDescent="0.35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  <c r="M4" t="str">
        <f t="shared" si="0"/>
        <v>Medium</v>
      </c>
      <c r="O4" t="s">
        <v>18</v>
      </c>
      <c r="P4">
        <f t="shared" si="1"/>
        <v>63</v>
      </c>
      <c r="Q4">
        <f t="shared" si="2"/>
        <v>10.215873015873015</v>
      </c>
    </row>
    <row r="5" spans="1:17" x14ac:dyDescent="0.35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  <c r="M5" t="str">
        <f t="shared" si="0"/>
        <v>Medium</v>
      </c>
    </row>
    <row r="6" spans="1:17" x14ac:dyDescent="0.35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  <c r="M6" t="str">
        <f t="shared" si="0"/>
        <v>Medium</v>
      </c>
    </row>
    <row r="7" spans="1:17" x14ac:dyDescent="0.35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  <c r="M7" t="str">
        <f t="shared" si="0"/>
        <v>Medium</v>
      </c>
    </row>
    <row r="8" spans="1:17" x14ac:dyDescent="0.35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  <c r="M8" t="str">
        <f t="shared" si="0"/>
        <v>Medium</v>
      </c>
    </row>
    <row r="9" spans="1:17" x14ac:dyDescent="0.35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  <c r="M9" t="str">
        <f t="shared" si="0"/>
        <v>High</v>
      </c>
    </row>
    <row r="10" spans="1:17" x14ac:dyDescent="0.35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  <c r="M10" t="str">
        <f t="shared" si="0"/>
        <v>High</v>
      </c>
    </row>
    <row r="11" spans="1:17" x14ac:dyDescent="0.35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5</v>
      </c>
      <c r="M11" t="str">
        <f t="shared" si="0"/>
        <v>Medium</v>
      </c>
    </row>
    <row r="12" spans="1:17" x14ac:dyDescent="0.35">
      <c r="A12">
        <v>6.7</v>
      </c>
      <c r="B12">
        <v>0.57999999999999996</v>
      </c>
      <c r="C12">
        <v>0.08</v>
      </c>
      <c r="D12">
        <v>1.8</v>
      </c>
      <c r="E12">
        <v>9.7000000000000003E-2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5</v>
      </c>
      <c r="M12" t="str">
        <f t="shared" si="0"/>
        <v>Medium</v>
      </c>
    </row>
    <row r="13" spans="1:17" x14ac:dyDescent="0.35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5</v>
      </c>
      <c r="M13" t="str">
        <f t="shared" si="0"/>
        <v>Medium</v>
      </c>
    </row>
    <row r="14" spans="1:17" x14ac:dyDescent="0.35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5</v>
      </c>
      <c r="M14" t="str">
        <f t="shared" si="0"/>
        <v>Medium</v>
      </c>
    </row>
    <row r="15" spans="1:17" x14ac:dyDescent="0.35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5</v>
      </c>
      <c r="M15" t="str">
        <f t="shared" si="0"/>
        <v>Medium</v>
      </c>
    </row>
    <row r="16" spans="1:17" x14ac:dyDescent="0.35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5</v>
      </c>
      <c r="M16" t="str">
        <f t="shared" si="0"/>
        <v>Medium</v>
      </c>
    </row>
    <row r="17" spans="1:13" x14ac:dyDescent="0.35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5</v>
      </c>
      <c r="M17" t="str">
        <f t="shared" si="0"/>
        <v>Medium</v>
      </c>
    </row>
    <row r="18" spans="1:13" x14ac:dyDescent="0.35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7</v>
      </c>
      <c r="M18" t="str">
        <f t="shared" si="0"/>
        <v>High</v>
      </c>
    </row>
    <row r="19" spans="1:13" x14ac:dyDescent="0.35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5</v>
      </c>
      <c r="M19" t="str">
        <f t="shared" si="0"/>
        <v>Medium</v>
      </c>
    </row>
    <row r="20" spans="1:13" x14ac:dyDescent="0.35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4</v>
      </c>
      <c r="M20" t="str">
        <f t="shared" si="0"/>
        <v>Low</v>
      </c>
    </row>
    <row r="21" spans="1:13" x14ac:dyDescent="0.35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6</v>
      </c>
      <c r="M21" t="str">
        <f t="shared" si="0"/>
        <v>Medium</v>
      </c>
    </row>
    <row r="22" spans="1:13" x14ac:dyDescent="0.35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6</v>
      </c>
      <c r="M22" t="str">
        <f t="shared" si="0"/>
        <v>Medium</v>
      </c>
    </row>
    <row r="23" spans="1:13" x14ac:dyDescent="0.35">
      <c r="A23">
        <v>7.6</v>
      </c>
      <c r="B23">
        <v>0.39</v>
      </c>
      <c r="C23">
        <v>0.31</v>
      </c>
      <c r="D23">
        <v>2.2999999999999998</v>
      </c>
      <c r="E23">
        <v>8.2000000000000003E-2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5</v>
      </c>
      <c r="M23" t="str">
        <f t="shared" si="0"/>
        <v>Medium</v>
      </c>
    </row>
    <row r="24" spans="1:13" x14ac:dyDescent="0.35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  <c r="M24" t="str">
        <f t="shared" si="0"/>
        <v>Medium</v>
      </c>
    </row>
    <row r="25" spans="1:13" x14ac:dyDescent="0.35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5</v>
      </c>
      <c r="M25" t="str">
        <f t="shared" si="0"/>
        <v>Medium</v>
      </c>
    </row>
    <row r="26" spans="1:13" x14ac:dyDescent="0.35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6</v>
      </c>
      <c r="M26" t="str">
        <f t="shared" si="0"/>
        <v>Medium</v>
      </c>
    </row>
    <row r="27" spans="1:13" x14ac:dyDescent="0.35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5</v>
      </c>
      <c r="M27" t="str">
        <f t="shared" si="0"/>
        <v>Medium</v>
      </c>
    </row>
    <row r="28" spans="1:13" x14ac:dyDescent="0.35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5</v>
      </c>
      <c r="M28" t="str">
        <f t="shared" si="0"/>
        <v>Medium</v>
      </c>
    </row>
    <row r="29" spans="1:13" x14ac:dyDescent="0.35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5</v>
      </c>
      <c r="M29" t="str">
        <f t="shared" si="0"/>
        <v>Medium</v>
      </c>
    </row>
    <row r="30" spans="1:13" x14ac:dyDescent="0.35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5</v>
      </c>
      <c r="M30" t="str">
        <f t="shared" si="0"/>
        <v>Medium</v>
      </c>
    </row>
    <row r="31" spans="1:13" x14ac:dyDescent="0.35">
      <c r="A31">
        <v>7.8</v>
      </c>
      <c r="B31">
        <v>0.64500000000000002</v>
      </c>
      <c r="C31">
        <v>0</v>
      </c>
      <c r="D31">
        <v>2</v>
      </c>
      <c r="E31">
        <v>8.2000000000000003E-2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6</v>
      </c>
      <c r="M31" t="str">
        <f t="shared" si="0"/>
        <v>Medium</v>
      </c>
    </row>
    <row r="32" spans="1:13" x14ac:dyDescent="0.35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5</v>
      </c>
      <c r="M32" t="str">
        <f t="shared" si="0"/>
        <v>Medium</v>
      </c>
    </row>
    <row r="33" spans="1:13" x14ac:dyDescent="0.35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6</v>
      </c>
      <c r="M33" t="str">
        <f t="shared" si="0"/>
        <v>Medium</v>
      </c>
    </row>
    <row r="34" spans="1:13" x14ac:dyDescent="0.35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5</v>
      </c>
      <c r="M34" t="str">
        <f t="shared" si="0"/>
        <v>Medium</v>
      </c>
    </row>
    <row r="35" spans="1:13" x14ac:dyDescent="0.35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6</v>
      </c>
      <c r="M35" t="str">
        <f t="shared" si="0"/>
        <v>Medium</v>
      </c>
    </row>
    <row r="36" spans="1:13" x14ac:dyDescent="0.35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5</v>
      </c>
      <c r="M36" t="str">
        <f t="shared" si="0"/>
        <v>Medium</v>
      </c>
    </row>
    <row r="37" spans="1:13" x14ac:dyDescent="0.35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6</v>
      </c>
      <c r="M37" t="str">
        <f t="shared" si="0"/>
        <v>Medium</v>
      </c>
    </row>
    <row r="38" spans="1:13" x14ac:dyDescent="0.35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6</v>
      </c>
      <c r="M38" t="str">
        <f t="shared" si="0"/>
        <v>Medium</v>
      </c>
    </row>
    <row r="39" spans="1:13" x14ac:dyDescent="0.35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7</v>
      </c>
      <c r="M39" t="str">
        <f t="shared" si="0"/>
        <v>High</v>
      </c>
    </row>
    <row r="40" spans="1:13" x14ac:dyDescent="0.35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4</v>
      </c>
      <c r="M40" t="str">
        <f t="shared" si="0"/>
        <v>Low</v>
      </c>
    </row>
    <row r="41" spans="1:13" x14ac:dyDescent="0.35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5</v>
      </c>
      <c r="M41" t="str">
        <f t="shared" si="0"/>
        <v>Medium</v>
      </c>
    </row>
    <row r="42" spans="1:13" x14ac:dyDescent="0.35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5</v>
      </c>
      <c r="M42" t="str">
        <f t="shared" si="0"/>
        <v>Medium</v>
      </c>
    </row>
    <row r="43" spans="1:13" x14ac:dyDescent="0.35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4</v>
      </c>
      <c r="M43" t="str">
        <f t="shared" si="0"/>
        <v>Low</v>
      </c>
    </row>
    <row r="44" spans="1:13" x14ac:dyDescent="0.35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6</v>
      </c>
      <c r="M44" t="str">
        <f t="shared" si="0"/>
        <v>Medium</v>
      </c>
    </row>
    <row r="45" spans="1:13" x14ac:dyDescent="0.35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5</v>
      </c>
      <c r="M45" t="str">
        <f t="shared" si="0"/>
        <v>Medium</v>
      </c>
    </row>
    <row r="46" spans="1:13" x14ac:dyDescent="0.35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5</v>
      </c>
      <c r="M46" t="str">
        <f t="shared" si="0"/>
        <v>Medium</v>
      </c>
    </row>
    <row r="47" spans="1:13" x14ac:dyDescent="0.35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4</v>
      </c>
      <c r="M47" t="str">
        <f t="shared" si="0"/>
        <v>Low</v>
      </c>
    </row>
    <row r="48" spans="1:13" x14ac:dyDescent="0.35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5</v>
      </c>
      <c r="M48" t="str">
        <f t="shared" si="0"/>
        <v>Medium</v>
      </c>
    </row>
    <row r="49" spans="1:13" x14ac:dyDescent="0.35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5</v>
      </c>
      <c r="M49" t="str">
        <f t="shared" si="0"/>
        <v>Medium</v>
      </c>
    </row>
    <row r="50" spans="1:13" x14ac:dyDescent="0.35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5</v>
      </c>
      <c r="M50" t="str">
        <f t="shared" si="0"/>
        <v>Medium</v>
      </c>
    </row>
    <row r="51" spans="1:13" x14ac:dyDescent="0.35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5</v>
      </c>
      <c r="M51" t="str">
        <f t="shared" si="0"/>
        <v>Medium</v>
      </c>
    </row>
    <row r="52" spans="1:13" x14ac:dyDescent="0.35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5</v>
      </c>
      <c r="M52" t="str">
        <f t="shared" si="0"/>
        <v>Medium</v>
      </c>
    </row>
    <row r="53" spans="1:13" x14ac:dyDescent="0.35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6</v>
      </c>
      <c r="M53" t="str">
        <f t="shared" si="0"/>
        <v>Medium</v>
      </c>
    </row>
    <row r="54" spans="1:13" x14ac:dyDescent="0.35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6</v>
      </c>
      <c r="M54" t="str">
        <f t="shared" si="0"/>
        <v>Medium</v>
      </c>
    </row>
    <row r="55" spans="1:13" x14ac:dyDescent="0.35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5</v>
      </c>
      <c r="M55" t="str">
        <f t="shared" si="0"/>
        <v>Medium</v>
      </c>
    </row>
    <row r="56" spans="1:13" x14ac:dyDescent="0.35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6</v>
      </c>
      <c r="M56" t="str">
        <f t="shared" si="0"/>
        <v>Medium</v>
      </c>
    </row>
    <row r="57" spans="1:13" x14ac:dyDescent="0.35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5</v>
      </c>
      <c r="M57" t="str">
        <f t="shared" si="0"/>
        <v>Medium</v>
      </c>
    </row>
    <row r="58" spans="1:13" x14ac:dyDescent="0.35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5</v>
      </c>
      <c r="M58" t="str">
        <f t="shared" si="0"/>
        <v>Medium</v>
      </c>
    </row>
    <row r="59" spans="1:13" x14ac:dyDescent="0.35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5</v>
      </c>
      <c r="M59" t="str">
        <f t="shared" si="0"/>
        <v>Medium</v>
      </c>
    </row>
    <row r="60" spans="1:13" x14ac:dyDescent="0.35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5</v>
      </c>
      <c r="M60" t="str">
        <f t="shared" si="0"/>
        <v>Medium</v>
      </c>
    </row>
    <row r="61" spans="1:13" x14ac:dyDescent="0.35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6</v>
      </c>
      <c r="M61" t="str">
        <f t="shared" si="0"/>
        <v>Medium</v>
      </c>
    </row>
    <row r="62" spans="1:13" x14ac:dyDescent="0.35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5</v>
      </c>
      <c r="M62" t="str">
        <f t="shared" si="0"/>
        <v>Medium</v>
      </c>
    </row>
    <row r="63" spans="1:13" x14ac:dyDescent="0.35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5</v>
      </c>
      <c r="M63" t="str">
        <f t="shared" si="0"/>
        <v>Medium</v>
      </c>
    </row>
    <row r="64" spans="1:13" x14ac:dyDescent="0.35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7</v>
      </c>
      <c r="M64" t="str">
        <f t="shared" si="0"/>
        <v>High</v>
      </c>
    </row>
    <row r="65" spans="1:13" x14ac:dyDescent="0.35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5</v>
      </c>
      <c r="M65" t="str">
        <f t="shared" si="0"/>
        <v>Medium</v>
      </c>
    </row>
    <row r="66" spans="1:13" x14ac:dyDescent="0.35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5</v>
      </c>
      <c r="M66" t="str">
        <f t="shared" si="0"/>
        <v>Medium</v>
      </c>
    </row>
    <row r="67" spans="1:13" x14ac:dyDescent="0.35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5</v>
      </c>
      <c r="M67" t="str">
        <f t="shared" ref="M67:M130" si="3">IF(L67&gt;=7,"High",IF(L67&gt;=5,"Medium","Low"))</f>
        <v>Medium</v>
      </c>
    </row>
    <row r="68" spans="1:13" x14ac:dyDescent="0.35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5</v>
      </c>
      <c r="M68" t="str">
        <f t="shared" si="3"/>
        <v>Medium</v>
      </c>
    </row>
    <row r="69" spans="1:13" x14ac:dyDescent="0.35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5</v>
      </c>
      <c r="M69" t="str">
        <f t="shared" si="3"/>
        <v>Medium</v>
      </c>
    </row>
    <row r="70" spans="1:13" x14ac:dyDescent="0.35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5</v>
      </c>
      <c r="M70" t="str">
        <f t="shared" si="3"/>
        <v>Medium</v>
      </c>
    </row>
    <row r="71" spans="1:13" x14ac:dyDescent="0.35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6</v>
      </c>
      <c r="M71" t="str">
        <f t="shared" si="3"/>
        <v>Medium</v>
      </c>
    </row>
    <row r="72" spans="1:13" x14ac:dyDescent="0.35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6</v>
      </c>
      <c r="M72" t="str">
        <f t="shared" si="3"/>
        <v>Medium</v>
      </c>
    </row>
    <row r="73" spans="1:13" x14ac:dyDescent="0.35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5</v>
      </c>
      <c r="M73" t="str">
        <f t="shared" si="3"/>
        <v>Medium</v>
      </c>
    </row>
    <row r="74" spans="1:13" x14ac:dyDescent="0.35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5</v>
      </c>
      <c r="M74" t="str">
        <f t="shared" si="3"/>
        <v>Medium</v>
      </c>
    </row>
    <row r="75" spans="1:13" x14ac:dyDescent="0.35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4</v>
      </c>
      <c r="M75" t="str">
        <f t="shared" si="3"/>
        <v>Low</v>
      </c>
    </row>
    <row r="76" spans="1:13" x14ac:dyDescent="0.35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5</v>
      </c>
      <c r="M76" t="str">
        <f t="shared" si="3"/>
        <v>Medium</v>
      </c>
    </row>
    <row r="77" spans="1:13" x14ac:dyDescent="0.35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5</v>
      </c>
      <c r="M77" t="str">
        <f t="shared" si="3"/>
        <v>Medium</v>
      </c>
    </row>
    <row r="78" spans="1:13" x14ac:dyDescent="0.35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5</v>
      </c>
      <c r="M78" t="str">
        <f t="shared" si="3"/>
        <v>Medium</v>
      </c>
    </row>
    <row r="79" spans="1:13" x14ac:dyDescent="0.35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6</v>
      </c>
      <c r="M79" t="str">
        <f t="shared" si="3"/>
        <v>Medium</v>
      </c>
    </row>
    <row r="80" spans="1:13" x14ac:dyDescent="0.35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5</v>
      </c>
      <c r="M80" t="str">
        <f t="shared" si="3"/>
        <v>Medium</v>
      </c>
    </row>
    <row r="81" spans="1:13" x14ac:dyDescent="0.35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4</v>
      </c>
      <c r="M81" t="str">
        <f t="shared" si="3"/>
        <v>Low</v>
      </c>
    </row>
    <row r="82" spans="1:13" x14ac:dyDescent="0.35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5</v>
      </c>
      <c r="M82" t="str">
        <f t="shared" si="3"/>
        <v>Medium</v>
      </c>
    </row>
    <row r="83" spans="1:13" x14ac:dyDescent="0.35">
      <c r="A83">
        <v>7.8</v>
      </c>
      <c r="B83">
        <v>0.43</v>
      </c>
      <c r="C83">
        <v>0.7</v>
      </c>
      <c r="D83">
        <v>1.9</v>
      </c>
      <c r="E83">
        <v>0.46400000000000002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5</v>
      </c>
      <c r="M83" t="str">
        <f t="shared" si="3"/>
        <v>Medium</v>
      </c>
    </row>
    <row r="84" spans="1:13" x14ac:dyDescent="0.35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5</v>
      </c>
      <c r="M84" t="str">
        <f t="shared" si="3"/>
        <v>Medium</v>
      </c>
    </row>
    <row r="85" spans="1:13" x14ac:dyDescent="0.35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5</v>
      </c>
      <c r="M85" t="str">
        <f t="shared" si="3"/>
        <v>Medium</v>
      </c>
    </row>
    <row r="86" spans="1:13" x14ac:dyDescent="0.35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6</v>
      </c>
      <c r="M86" t="str">
        <f t="shared" si="3"/>
        <v>Medium</v>
      </c>
    </row>
    <row r="87" spans="1:13" x14ac:dyDescent="0.35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5</v>
      </c>
      <c r="M87" t="str">
        <f t="shared" si="3"/>
        <v>Medium</v>
      </c>
    </row>
    <row r="88" spans="1:13" x14ac:dyDescent="0.35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6</v>
      </c>
      <c r="M88" t="str">
        <f t="shared" si="3"/>
        <v>Medium</v>
      </c>
    </row>
    <row r="89" spans="1:13" x14ac:dyDescent="0.35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5</v>
      </c>
      <c r="M89" t="str">
        <f t="shared" si="3"/>
        <v>Medium</v>
      </c>
    </row>
    <row r="90" spans="1:13" x14ac:dyDescent="0.35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5</v>
      </c>
      <c r="M90" t="str">
        <f t="shared" si="3"/>
        <v>Medium</v>
      </c>
    </row>
    <row r="91" spans="1:13" x14ac:dyDescent="0.35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5</v>
      </c>
      <c r="M91" t="str">
        <f t="shared" si="3"/>
        <v>Medium</v>
      </c>
    </row>
    <row r="92" spans="1:13" x14ac:dyDescent="0.35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5</v>
      </c>
      <c r="M92" t="str">
        <f t="shared" si="3"/>
        <v>Medium</v>
      </c>
    </row>
    <row r="93" spans="1:13" x14ac:dyDescent="0.35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6</v>
      </c>
      <c r="M93" t="str">
        <f t="shared" si="3"/>
        <v>Medium</v>
      </c>
    </row>
    <row r="94" spans="1:13" x14ac:dyDescent="0.35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5</v>
      </c>
      <c r="M94" t="str">
        <f t="shared" si="3"/>
        <v>Medium</v>
      </c>
    </row>
    <row r="95" spans="1:13" x14ac:dyDescent="0.35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5</v>
      </c>
      <c r="M95" t="str">
        <f t="shared" si="3"/>
        <v>Medium</v>
      </c>
    </row>
    <row r="96" spans="1:13" x14ac:dyDescent="0.35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4</v>
      </c>
      <c r="M96" t="str">
        <f t="shared" si="3"/>
        <v>Low</v>
      </c>
    </row>
    <row r="97" spans="1:13" x14ac:dyDescent="0.35">
      <c r="A97">
        <v>4.7</v>
      </c>
      <c r="B97">
        <v>0.6</v>
      </c>
      <c r="C97">
        <v>0.17</v>
      </c>
      <c r="D97">
        <v>2.2999999999999998</v>
      </c>
      <c r="E97">
        <v>5.8000000000000003E-2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6</v>
      </c>
      <c r="M97" t="str">
        <f t="shared" si="3"/>
        <v>Medium</v>
      </c>
    </row>
    <row r="98" spans="1:13" x14ac:dyDescent="0.35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5</v>
      </c>
      <c r="M98" t="str">
        <f t="shared" si="3"/>
        <v>Medium</v>
      </c>
    </row>
    <row r="99" spans="1:13" x14ac:dyDescent="0.35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5</v>
      </c>
      <c r="M99" t="str">
        <f t="shared" si="3"/>
        <v>Medium</v>
      </c>
    </row>
    <row r="100" spans="1:13" x14ac:dyDescent="0.35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5</v>
      </c>
      <c r="M100" t="str">
        <f t="shared" si="3"/>
        <v>Medium</v>
      </c>
    </row>
    <row r="101" spans="1:13" x14ac:dyDescent="0.35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6</v>
      </c>
      <c r="M101" t="str">
        <f t="shared" si="3"/>
        <v>Medium</v>
      </c>
    </row>
    <row r="102" spans="1:13" x14ac:dyDescent="0.35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6</v>
      </c>
      <c r="M102" t="str">
        <f t="shared" si="3"/>
        <v>Medium</v>
      </c>
    </row>
    <row r="103" spans="1:13" x14ac:dyDescent="0.35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6</v>
      </c>
      <c r="M103" t="str">
        <f t="shared" si="3"/>
        <v>Medium</v>
      </c>
    </row>
    <row r="104" spans="1:13" x14ac:dyDescent="0.35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6</v>
      </c>
      <c r="M104" t="str">
        <f t="shared" si="3"/>
        <v>Medium</v>
      </c>
    </row>
    <row r="105" spans="1:13" x14ac:dyDescent="0.35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5</v>
      </c>
      <c r="M105" t="str">
        <f t="shared" si="3"/>
        <v>Medium</v>
      </c>
    </row>
    <row r="106" spans="1:13" x14ac:dyDescent="0.35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  <c r="M106" t="str">
        <f t="shared" si="3"/>
        <v>Medium</v>
      </c>
    </row>
    <row r="107" spans="1:13" x14ac:dyDescent="0.35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5</v>
      </c>
      <c r="M107" t="str">
        <f t="shared" si="3"/>
        <v>Medium</v>
      </c>
    </row>
    <row r="108" spans="1:13" x14ac:dyDescent="0.35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5</v>
      </c>
      <c r="M108" t="str">
        <f t="shared" si="3"/>
        <v>Medium</v>
      </c>
    </row>
    <row r="109" spans="1:13" x14ac:dyDescent="0.35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5</v>
      </c>
      <c r="M109" t="str">
        <f t="shared" si="3"/>
        <v>Medium</v>
      </c>
    </row>
    <row r="110" spans="1:13" x14ac:dyDescent="0.35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6</v>
      </c>
      <c r="M110" t="str">
        <f t="shared" si="3"/>
        <v>Medium</v>
      </c>
    </row>
    <row r="111" spans="1:13" x14ac:dyDescent="0.35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5</v>
      </c>
      <c r="M111" t="str">
        <f t="shared" si="3"/>
        <v>Medium</v>
      </c>
    </row>
    <row r="112" spans="1:13" x14ac:dyDescent="0.35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5</v>
      </c>
      <c r="M112" t="str">
        <f t="shared" si="3"/>
        <v>Medium</v>
      </c>
    </row>
    <row r="113" spans="1:13" x14ac:dyDescent="0.35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5</v>
      </c>
      <c r="M113" t="str">
        <f t="shared" si="3"/>
        <v>Medium</v>
      </c>
    </row>
    <row r="114" spans="1:13" x14ac:dyDescent="0.35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5</v>
      </c>
      <c r="M114" t="str">
        <f t="shared" si="3"/>
        <v>Medium</v>
      </c>
    </row>
    <row r="115" spans="1:13" x14ac:dyDescent="0.35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6</v>
      </c>
      <c r="M115" t="str">
        <f t="shared" si="3"/>
        <v>Medium</v>
      </c>
    </row>
    <row r="116" spans="1:13" x14ac:dyDescent="0.35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5</v>
      </c>
      <c r="M116" t="str">
        <f t="shared" si="3"/>
        <v>Medium</v>
      </c>
    </row>
    <row r="117" spans="1:13" x14ac:dyDescent="0.35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6</v>
      </c>
      <c r="M117" t="str">
        <f t="shared" si="3"/>
        <v>Medium</v>
      </c>
    </row>
    <row r="118" spans="1:13" x14ac:dyDescent="0.35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6</v>
      </c>
      <c r="M118" t="str">
        <f t="shared" si="3"/>
        <v>Medium</v>
      </c>
    </row>
    <row r="119" spans="1:13" x14ac:dyDescent="0.35">
      <c r="A119">
        <v>7.8</v>
      </c>
      <c r="B119">
        <v>0.56000000000000005</v>
      </c>
      <c r="C119">
        <v>0.12</v>
      </c>
      <c r="D119">
        <v>2</v>
      </c>
      <c r="E119">
        <v>8.2000000000000003E-2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  <c r="M119" t="str">
        <f t="shared" si="3"/>
        <v>Medium</v>
      </c>
    </row>
    <row r="120" spans="1:13" x14ac:dyDescent="0.35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6</v>
      </c>
      <c r="M120" t="str">
        <f t="shared" si="3"/>
        <v>Medium</v>
      </c>
    </row>
    <row r="121" spans="1:13" x14ac:dyDescent="0.35">
      <c r="A121">
        <v>7</v>
      </c>
      <c r="B121">
        <v>0.69</v>
      </c>
      <c r="C121">
        <v>0.08</v>
      </c>
      <c r="D121">
        <v>1.8</v>
      </c>
      <c r="E121">
        <v>9.7000000000000003E-2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6</v>
      </c>
      <c r="M121" t="str">
        <f t="shared" si="3"/>
        <v>Medium</v>
      </c>
    </row>
    <row r="122" spans="1:13" x14ac:dyDescent="0.35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5</v>
      </c>
      <c r="M122" t="str">
        <f t="shared" si="3"/>
        <v>Medium</v>
      </c>
    </row>
    <row r="123" spans="1:13" x14ac:dyDescent="0.35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6</v>
      </c>
      <c r="M123" t="str">
        <f t="shared" si="3"/>
        <v>Medium</v>
      </c>
    </row>
    <row r="124" spans="1:13" x14ac:dyDescent="0.35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5</v>
      </c>
      <c r="M124" t="str">
        <f t="shared" si="3"/>
        <v>Medium</v>
      </c>
    </row>
    <row r="125" spans="1:13" x14ac:dyDescent="0.35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5</v>
      </c>
      <c r="M125" t="str">
        <f t="shared" si="3"/>
        <v>Medium</v>
      </c>
    </row>
    <row r="126" spans="1:13" x14ac:dyDescent="0.35">
      <c r="A126">
        <v>7.8</v>
      </c>
      <c r="B126">
        <v>0.5</v>
      </c>
      <c r="C126">
        <v>0.17</v>
      </c>
      <c r="D126">
        <v>1.6</v>
      </c>
      <c r="E126">
        <v>8.2000000000000003E-2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  <c r="M126" t="str">
        <f t="shared" si="3"/>
        <v>Medium</v>
      </c>
    </row>
    <row r="127" spans="1:13" x14ac:dyDescent="0.35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5</v>
      </c>
      <c r="M127" t="str">
        <f t="shared" si="3"/>
        <v>Medium</v>
      </c>
    </row>
    <row r="128" spans="1:13" x14ac:dyDescent="0.35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5</v>
      </c>
      <c r="M128" t="str">
        <f t="shared" si="3"/>
        <v>Medium</v>
      </c>
    </row>
    <row r="129" spans="1:13" x14ac:dyDescent="0.35">
      <c r="A129">
        <v>8.1</v>
      </c>
      <c r="B129">
        <v>1.33</v>
      </c>
      <c r="C129">
        <v>0</v>
      </c>
      <c r="D129">
        <v>1.8</v>
      </c>
      <c r="E129">
        <v>8.2000000000000003E-2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5</v>
      </c>
      <c r="M129" t="str">
        <f t="shared" si="3"/>
        <v>Medium</v>
      </c>
    </row>
    <row r="130" spans="1:13" x14ac:dyDescent="0.35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7</v>
      </c>
      <c r="M130" t="str">
        <f t="shared" si="3"/>
        <v>High</v>
      </c>
    </row>
    <row r="131" spans="1:13" x14ac:dyDescent="0.35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5</v>
      </c>
      <c r="M131" t="str">
        <f t="shared" ref="M131:M194" si="4">IF(L131&gt;=7,"High",IF(L131&gt;=5,"Medium","Low"))</f>
        <v>Medium</v>
      </c>
    </row>
    <row r="132" spans="1:13" x14ac:dyDescent="0.35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5</v>
      </c>
      <c r="M132" t="str">
        <f t="shared" si="4"/>
        <v>Medium</v>
      </c>
    </row>
    <row r="133" spans="1:13" x14ac:dyDescent="0.35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5</v>
      </c>
      <c r="M133" t="str">
        <f t="shared" si="4"/>
        <v>Medium</v>
      </c>
    </row>
    <row r="134" spans="1:13" x14ac:dyDescent="0.35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5</v>
      </c>
      <c r="M134" t="str">
        <f t="shared" si="4"/>
        <v>Medium</v>
      </c>
    </row>
    <row r="135" spans="1:13" x14ac:dyDescent="0.35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6</v>
      </c>
      <c r="M135" t="str">
        <f t="shared" si="4"/>
        <v>Medium</v>
      </c>
    </row>
    <row r="136" spans="1:13" x14ac:dyDescent="0.35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6</v>
      </c>
      <c r="M136" t="str">
        <f t="shared" si="4"/>
        <v>Medium</v>
      </c>
    </row>
    <row r="137" spans="1:13" x14ac:dyDescent="0.35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5</v>
      </c>
      <c r="M137" t="str">
        <f t="shared" si="4"/>
        <v>Medium</v>
      </c>
    </row>
    <row r="138" spans="1:13" x14ac:dyDescent="0.35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5</v>
      </c>
      <c r="M138" t="str">
        <f t="shared" si="4"/>
        <v>Medium</v>
      </c>
    </row>
    <row r="139" spans="1:13" x14ac:dyDescent="0.35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5</v>
      </c>
      <c r="M139" t="str">
        <f t="shared" si="4"/>
        <v>Medium</v>
      </c>
    </row>
    <row r="140" spans="1:13" x14ac:dyDescent="0.35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5</v>
      </c>
      <c r="M140" t="str">
        <f t="shared" si="4"/>
        <v>Medium</v>
      </c>
    </row>
    <row r="141" spans="1:13" x14ac:dyDescent="0.35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5</v>
      </c>
      <c r="M141" t="str">
        <f t="shared" si="4"/>
        <v>Medium</v>
      </c>
    </row>
    <row r="142" spans="1:13" x14ac:dyDescent="0.35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5</v>
      </c>
      <c r="M142" t="str">
        <f t="shared" si="4"/>
        <v>Medium</v>
      </c>
    </row>
    <row r="143" spans="1:13" x14ac:dyDescent="0.35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5</v>
      </c>
      <c r="M143" t="str">
        <f t="shared" si="4"/>
        <v>Medium</v>
      </c>
    </row>
    <row r="144" spans="1:13" x14ac:dyDescent="0.35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6</v>
      </c>
      <c r="M144" t="str">
        <f t="shared" si="4"/>
        <v>Medium</v>
      </c>
    </row>
    <row r="145" spans="1:13" x14ac:dyDescent="0.35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5</v>
      </c>
      <c r="M145" t="str">
        <f t="shared" si="4"/>
        <v>Medium</v>
      </c>
    </row>
    <row r="146" spans="1:13" x14ac:dyDescent="0.35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6</v>
      </c>
      <c r="M146" t="str">
        <f t="shared" si="4"/>
        <v>Medium</v>
      </c>
    </row>
    <row r="147" spans="1:13" x14ac:dyDescent="0.35">
      <c r="A147">
        <v>8.1</v>
      </c>
      <c r="B147">
        <v>0.67</v>
      </c>
      <c r="C147">
        <v>0.55000000000000004</v>
      </c>
      <c r="D147">
        <v>1.8</v>
      </c>
      <c r="E147">
        <v>0.11700000000000001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5</v>
      </c>
      <c r="M147" t="str">
        <f t="shared" si="4"/>
        <v>Medium</v>
      </c>
    </row>
    <row r="148" spans="1:13" x14ac:dyDescent="0.35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5</v>
      </c>
      <c r="M148" t="str">
        <f t="shared" si="4"/>
        <v>Medium</v>
      </c>
    </row>
    <row r="149" spans="1:13" x14ac:dyDescent="0.35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5</v>
      </c>
      <c r="M149" t="str">
        <f t="shared" si="4"/>
        <v>Medium</v>
      </c>
    </row>
    <row r="150" spans="1:13" x14ac:dyDescent="0.35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6</v>
      </c>
      <c r="M150" t="str">
        <f t="shared" si="4"/>
        <v>Medium</v>
      </c>
    </row>
    <row r="151" spans="1:13" x14ac:dyDescent="0.35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6</v>
      </c>
      <c r="M151" t="str">
        <f t="shared" si="4"/>
        <v>Medium</v>
      </c>
    </row>
    <row r="152" spans="1:13" x14ac:dyDescent="0.35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6</v>
      </c>
      <c r="M152" t="str">
        <f t="shared" si="4"/>
        <v>Medium</v>
      </c>
    </row>
    <row r="153" spans="1:13" x14ac:dyDescent="0.35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4</v>
      </c>
      <c r="M153" t="str">
        <f t="shared" si="4"/>
        <v>Low</v>
      </c>
    </row>
    <row r="154" spans="1:13" x14ac:dyDescent="0.35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  <c r="M154" t="str">
        <f t="shared" si="4"/>
        <v>Medium</v>
      </c>
    </row>
    <row r="155" spans="1:13" x14ac:dyDescent="0.35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  <c r="M155" t="str">
        <f t="shared" si="4"/>
        <v>Medium</v>
      </c>
    </row>
    <row r="156" spans="1:13" x14ac:dyDescent="0.35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5</v>
      </c>
      <c r="M156" t="str">
        <f t="shared" si="4"/>
        <v>Medium</v>
      </c>
    </row>
    <row r="157" spans="1:13" x14ac:dyDescent="0.35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5</v>
      </c>
      <c r="M157" t="str">
        <f t="shared" si="4"/>
        <v>Medium</v>
      </c>
    </row>
    <row r="158" spans="1:13" x14ac:dyDescent="0.35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5</v>
      </c>
      <c r="M158" t="str">
        <f t="shared" si="4"/>
        <v>Medium</v>
      </c>
    </row>
    <row r="159" spans="1:13" x14ac:dyDescent="0.35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5</v>
      </c>
      <c r="M159" t="str">
        <f t="shared" si="4"/>
        <v>Medium</v>
      </c>
    </row>
    <row r="160" spans="1:13" x14ac:dyDescent="0.35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5</v>
      </c>
      <c r="M160" t="str">
        <f t="shared" si="4"/>
        <v>Medium</v>
      </c>
    </row>
    <row r="161" spans="1:13" x14ac:dyDescent="0.35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6</v>
      </c>
      <c r="M161" t="str">
        <f t="shared" si="4"/>
        <v>Medium</v>
      </c>
    </row>
    <row r="162" spans="1:13" x14ac:dyDescent="0.35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5</v>
      </c>
      <c r="M162" t="str">
        <f t="shared" si="4"/>
        <v>Medium</v>
      </c>
    </row>
    <row r="163" spans="1:13" x14ac:dyDescent="0.35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4</v>
      </c>
      <c r="M163" t="str">
        <f t="shared" si="4"/>
        <v>Low</v>
      </c>
    </row>
    <row r="164" spans="1:13" x14ac:dyDescent="0.35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6</v>
      </c>
      <c r="M164" t="str">
        <f t="shared" si="4"/>
        <v>Medium</v>
      </c>
    </row>
    <row r="165" spans="1:13" x14ac:dyDescent="0.35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5</v>
      </c>
      <c r="M165" t="str">
        <f t="shared" si="4"/>
        <v>Medium</v>
      </c>
    </row>
    <row r="166" spans="1:13" x14ac:dyDescent="0.35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5</v>
      </c>
      <c r="M166" t="str">
        <f t="shared" si="4"/>
        <v>Medium</v>
      </c>
    </row>
    <row r="167" spans="1:13" x14ac:dyDescent="0.35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5</v>
      </c>
      <c r="M167" t="str">
        <f t="shared" si="4"/>
        <v>Medium</v>
      </c>
    </row>
    <row r="168" spans="1:13" x14ac:dyDescent="0.35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5</v>
      </c>
      <c r="M168" t="str">
        <f t="shared" si="4"/>
        <v>Medium</v>
      </c>
    </row>
    <row r="169" spans="1:13" x14ac:dyDescent="0.35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4</v>
      </c>
      <c r="M169" t="str">
        <f t="shared" si="4"/>
        <v>Low</v>
      </c>
    </row>
    <row r="170" spans="1:13" x14ac:dyDescent="0.35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6</v>
      </c>
      <c r="M170" t="str">
        <f t="shared" si="4"/>
        <v>Medium</v>
      </c>
    </row>
    <row r="171" spans="1:13" x14ac:dyDescent="0.35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5</v>
      </c>
      <c r="M171" t="str">
        <f t="shared" si="4"/>
        <v>Medium</v>
      </c>
    </row>
    <row r="172" spans="1:13" x14ac:dyDescent="0.35">
      <c r="A172">
        <v>7.9</v>
      </c>
      <c r="B172">
        <v>0.88500000000000001</v>
      </c>
      <c r="C172">
        <v>0.03</v>
      </c>
      <c r="D172">
        <v>1.8</v>
      </c>
      <c r="E172">
        <v>5.8000000000000003E-2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4</v>
      </c>
      <c r="M172" t="str">
        <f t="shared" si="4"/>
        <v>Low</v>
      </c>
    </row>
    <row r="173" spans="1:13" x14ac:dyDescent="0.35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6</v>
      </c>
      <c r="M173" t="str">
        <f t="shared" si="4"/>
        <v>Medium</v>
      </c>
    </row>
    <row r="174" spans="1:13" x14ac:dyDescent="0.35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6</v>
      </c>
      <c r="M174" t="str">
        <f t="shared" si="4"/>
        <v>Medium</v>
      </c>
    </row>
    <row r="175" spans="1:13" x14ac:dyDescent="0.35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6</v>
      </c>
      <c r="M175" t="str">
        <f t="shared" si="4"/>
        <v>Medium</v>
      </c>
    </row>
    <row r="176" spans="1:13" x14ac:dyDescent="0.35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5</v>
      </c>
      <c r="M176" t="str">
        <f t="shared" si="4"/>
        <v>Medium</v>
      </c>
    </row>
    <row r="177" spans="1:13" x14ac:dyDescent="0.35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5</v>
      </c>
      <c r="M177" t="str">
        <f t="shared" si="4"/>
        <v>Medium</v>
      </c>
    </row>
    <row r="178" spans="1:13" x14ac:dyDescent="0.35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5</v>
      </c>
      <c r="M178" t="str">
        <f t="shared" si="4"/>
        <v>Medium</v>
      </c>
    </row>
    <row r="179" spans="1:13" x14ac:dyDescent="0.35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6</v>
      </c>
      <c r="M179" t="str">
        <f t="shared" si="4"/>
        <v>Medium</v>
      </c>
    </row>
    <row r="180" spans="1:13" x14ac:dyDescent="0.35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5</v>
      </c>
      <c r="M180" t="str">
        <f t="shared" si="4"/>
        <v>Medium</v>
      </c>
    </row>
    <row r="181" spans="1:13" x14ac:dyDescent="0.35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5</v>
      </c>
      <c r="M181" t="str">
        <f t="shared" si="4"/>
        <v>Medium</v>
      </c>
    </row>
    <row r="182" spans="1:13" x14ac:dyDescent="0.35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5</v>
      </c>
      <c r="M182" t="str">
        <f t="shared" si="4"/>
        <v>Medium</v>
      </c>
    </row>
    <row r="183" spans="1:13" x14ac:dyDescent="0.35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5</v>
      </c>
      <c r="M183" t="str">
        <f t="shared" si="4"/>
        <v>Medium</v>
      </c>
    </row>
    <row r="184" spans="1:13" x14ac:dyDescent="0.35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5</v>
      </c>
      <c r="M184" t="str">
        <f t="shared" si="4"/>
        <v>Medium</v>
      </c>
    </row>
    <row r="185" spans="1:13" x14ac:dyDescent="0.35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5</v>
      </c>
      <c r="M185" t="str">
        <f t="shared" si="4"/>
        <v>Medium</v>
      </c>
    </row>
    <row r="186" spans="1:13" x14ac:dyDescent="0.35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6</v>
      </c>
      <c r="M186" t="str">
        <f t="shared" si="4"/>
        <v>Medium</v>
      </c>
    </row>
    <row r="187" spans="1:13" x14ac:dyDescent="0.35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5</v>
      </c>
      <c r="M187" t="str">
        <f t="shared" si="4"/>
        <v>Medium</v>
      </c>
    </row>
    <row r="188" spans="1:13" x14ac:dyDescent="0.35">
      <c r="A188">
        <v>7.4</v>
      </c>
      <c r="B188">
        <v>0.39</v>
      </c>
      <c r="C188">
        <v>0.48</v>
      </c>
      <c r="D188">
        <v>2</v>
      </c>
      <c r="E188">
        <v>8.2000000000000003E-2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5</v>
      </c>
      <c r="M188" t="str">
        <f t="shared" si="4"/>
        <v>Medium</v>
      </c>
    </row>
    <row r="189" spans="1:13" x14ac:dyDescent="0.35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5</v>
      </c>
      <c r="M189" t="str">
        <f t="shared" si="4"/>
        <v>Medium</v>
      </c>
    </row>
    <row r="190" spans="1:13" x14ac:dyDescent="0.35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5</v>
      </c>
      <c r="M190" t="str">
        <f t="shared" si="4"/>
        <v>Medium</v>
      </c>
    </row>
    <row r="191" spans="1:13" x14ac:dyDescent="0.35">
      <c r="A191">
        <v>7.9</v>
      </c>
      <c r="B191">
        <v>0.49</v>
      </c>
      <c r="C191">
        <v>0.32</v>
      </c>
      <c r="D191">
        <v>1.9</v>
      </c>
      <c r="E191">
        <v>8.2000000000000003E-2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5</v>
      </c>
      <c r="M191" t="str">
        <f t="shared" si="4"/>
        <v>Medium</v>
      </c>
    </row>
    <row r="192" spans="1:13" x14ac:dyDescent="0.35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5</v>
      </c>
      <c r="M192" t="str">
        <f t="shared" si="4"/>
        <v>Medium</v>
      </c>
    </row>
    <row r="193" spans="1:13" x14ac:dyDescent="0.35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6</v>
      </c>
      <c r="M193" t="str">
        <f t="shared" si="4"/>
        <v>Medium</v>
      </c>
    </row>
    <row r="194" spans="1:13" x14ac:dyDescent="0.35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5</v>
      </c>
      <c r="M194" t="str">
        <f t="shared" si="4"/>
        <v>Medium</v>
      </c>
    </row>
    <row r="195" spans="1:13" x14ac:dyDescent="0.35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5</v>
      </c>
      <c r="M195" t="str">
        <f t="shared" ref="M195:M258" si="5">IF(L195&gt;=7,"High",IF(L195&gt;=5,"Medium","Low"))</f>
        <v>Medium</v>
      </c>
    </row>
    <row r="196" spans="1:13" x14ac:dyDescent="0.35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5</v>
      </c>
      <c r="M196" t="str">
        <f t="shared" si="5"/>
        <v>Medium</v>
      </c>
    </row>
    <row r="197" spans="1:13" x14ac:dyDescent="0.35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5</v>
      </c>
      <c r="M197" t="str">
        <f t="shared" si="5"/>
        <v>Medium</v>
      </c>
    </row>
    <row r="198" spans="1:13" x14ac:dyDescent="0.35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5</v>
      </c>
      <c r="M198" t="str">
        <f t="shared" si="5"/>
        <v>Medium</v>
      </c>
    </row>
    <row r="199" spans="1:13" x14ac:dyDescent="0.35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6</v>
      </c>
      <c r="M199" t="str">
        <f t="shared" si="5"/>
        <v>Medium</v>
      </c>
    </row>
    <row r="200" spans="1:13" x14ac:dyDescent="0.35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7</v>
      </c>
      <c r="M200" t="str">
        <f t="shared" si="5"/>
        <v>High</v>
      </c>
    </row>
    <row r="201" spans="1:13" x14ac:dyDescent="0.35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4</v>
      </c>
      <c r="M201" t="str">
        <f t="shared" si="5"/>
        <v>Low</v>
      </c>
    </row>
    <row r="202" spans="1:13" x14ac:dyDescent="0.35">
      <c r="A202">
        <v>9.6</v>
      </c>
      <c r="B202">
        <v>0.32</v>
      </c>
      <c r="C202">
        <v>0.47</v>
      </c>
      <c r="D202">
        <v>1.4</v>
      </c>
      <c r="E202">
        <v>5.6000000000000001E-2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  <c r="M202" t="str">
        <f t="shared" si="5"/>
        <v>High</v>
      </c>
    </row>
    <row r="203" spans="1:13" x14ac:dyDescent="0.35">
      <c r="A203">
        <v>8.8000000000000007</v>
      </c>
      <c r="B203">
        <v>0.37</v>
      </c>
      <c r="C203">
        <v>0.48</v>
      </c>
      <c r="D203">
        <v>2.1</v>
      </c>
      <c r="E203">
        <v>9.7000000000000003E-2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5</v>
      </c>
      <c r="M203" t="str">
        <f t="shared" si="5"/>
        <v>Medium</v>
      </c>
    </row>
    <row r="204" spans="1:13" x14ac:dyDescent="0.35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5</v>
      </c>
      <c r="M204" t="str">
        <f t="shared" si="5"/>
        <v>Medium</v>
      </c>
    </row>
    <row r="205" spans="1:13" x14ac:dyDescent="0.35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5</v>
      </c>
      <c r="M205" t="str">
        <f t="shared" si="5"/>
        <v>Medium</v>
      </c>
    </row>
    <row r="206" spans="1:13" x14ac:dyDescent="0.35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6</v>
      </c>
      <c r="M206" t="str">
        <f t="shared" si="5"/>
        <v>Medium</v>
      </c>
    </row>
    <row r="207" spans="1:13" x14ac:dyDescent="0.35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7</v>
      </c>
      <c r="M207" t="str">
        <f t="shared" si="5"/>
        <v>High</v>
      </c>
    </row>
    <row r="208" spans="1:13" x14ac:dyDescent="0.35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7</v>
      </c>
      <c r="M208" t="str">
        <f t="shared" si="5"/>
        <v>High</v>
      </c>
    </row>
    <row r="209" spans="1:13" x14ac:dyDescent="0.35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5</v>
      </c>
      <c r="M209" t="str">
        <f t="shared" si="5"/>
        <v>Medium</v>
      </c>
    </row>
    <row r="210" spans="1:13" x14ac:dyDescent="0.35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5</v>
      </c>
      <c r="M210" t="str">
        <f t="shared" si="5"/>
        <v>Medium</v>
      </c>
    </row>
    <row r="211" spans="1:13" x14ac:dyDescent="0.35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  <c r="M211" t="str">
        <f t="shared" si="5"/>
        <v>High</v>
      </c>
    </row>
    <row r="212" spans="1:13" x14ac:dyDescent="0.35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6</v>
      </c>
      <c r="M212" t="str">
        <f t="shared" si="5"/>
        <v>Medium</v>
      </c>
    </row>
    <row r="213" spans="1:13" x14ac:dyDescent="0.35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6</v>
      </c>
      <c r="M213" t="str">
        <f t="shared" si="5"/>
        <v>Medium</v>
      </c>
    </row>
    <row r="214" spans="1:13" x14ac:dyDescent="0.35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6</v>
      </c>
      <c r="M214" t="str">
        <f t="shared" si="5"/>
        <v>Medium</v>
      </c>
    </row>
    <row r="215" spans="1:13" x14ac:dyDescent="0.35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5</v>
      </c>
      <c r="M215" t="str">
        <f t="shared" si="5"/>
        <v>Medium</v>
      </c>
    </row>
    <row r="216" spans="1:13" x14ac:dyDescent="0.35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6</v>
      </c>
      <c r="M216" t="str">
        <f t="shared" si="5"/>
        <v>Medium</v>
      </c>
    </row>
    <row r="217" spans="1:13" x14ac:dyDescent="0.35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5</v>
      </c>
      <c r="M217" t="str">
        <f t="shared" si="5"/>
        <v>Medium</v>
      </c>
    </row>
    <row r="218" spans="1:13" x14ac:dyDescent="0.35">
      <c r="A218">
        <v>8.6999999999999993</v>
      </c>
      <c r="B218">
        <v>0.625</v>
      </c>
      <c r="C218">
        <v>0.16</v>
      </c>
      <c r="D218">
        <v>2</v>
      </c>
      <c r="E218">
        <v>0.10100000000000001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5</v>
      </c>
      <c r="M218" t="str">
        <f t="shared" si="5"/>
        <v>Medium</v>
      </c>
    </row>
    <row r="219" spans="1:13" x14ac:dyDescent="0.35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5</v>
      </c>
      <c r="M219" t="str">
        <f t="shared" si="5"/>
        <v>Medium</v>
      </c>
    </row>
    <row r="220" spans="1:13" x14ac:dyDescent="0.35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5</v>
      </c>
      <c r="M220" t="str">
        <f t="shared" si="5"/>
        <v>Medium</v>
      </c>
    </row>
    <row r="221" spans="1:13" x14ac:dyDescent="0.35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5</v>
      </c>
      <c r="M221" t="str">
        <f t="shared" si="5"/>
        <v>Medium</v>
      </c>
    </row>
    <row r="222" spans="1:13" x14ac:dyDescent="0.35">
      <c r="A222">
        <v>7.8</v>
      </c>
      <c r="B222">
        <v>0.34</v>
      </c>
      <c r="C222">
        <v>0.37</v>
      </c>
      <c r="D222">
        <v>2</v>
      </c>
      <c r="E222">
        <v>8.2000000000000003E-2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6</v>
      </c>
      <c r="M222" t="str">
        <f t="shared" si="5"/>
        <v>Medium</v>
      </c>
    </row>
    <row r="223" spans="1:13" x14ac:dyDescent="0.35">
      <c r="A223">
        <v>7.4</v>
      </c>
      <c r="B223">
        <v>0.53</v>
      </c>
      <c r="C223">
        <v>0.26</v>
      </c>
      <c r="D223">
        <v>2</v>
      </c>
      <c r="E223">
        <v>0.10100000000000001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5</v>
      </c>
      <c r="M223" t="str">
        <f t="shared" si="5"/>
        <v>Medium</v>
      </c>
    </row>
    <row r="224" spans="1:13" x14ac:dyDescent="0.35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5</v>
      </c>
      <c r="M224" t="str">
        <f t="shared" si="5"/>
        <v>Medium</v>
      </c>
    </row>
    <row r="225" spans="1:13" x14ac:dyDescent="0.35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6</v>
      </c>
      <c r="M225" t="str">
        <f t="shared" si="5"/>
        <v>Medium</v>
      </c>
    </row>
    <row r="226" spans="1:13" x14ac:dyDescent="0.35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4</v>
      </c>
      <c r="M226" t="str">
        <f t="shared" si="5"/>
        <v>Low</v>
      </c>
    </row>
    <row r="227" spans="1:13" x14ac:dyDescent="0.35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6</v>
      </c>
      <c r="M227" t="str">
        <f t="shared" si="5"/>
        <v>Medium</v>
      </c>
    </row>
    <row r="228" spans="1:13" x14ac:dyDescent="0.35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6</v>
      </c>
      <c r="M228" t="str">
        <f t="shared" si="5"/>
        <v>Medium</v>
      </c>
    </row>
    <row r="229" spans="1:13" x14ac:dyDescent="0.35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5</v>
      </c>
      <c r="M229" t="str">
        <f t="shared" si="5"/>
        <v>Medium</v>
      </c>
    </row>
    <row r="230" spans="1:13" x14ac:dyDescent="0.35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6</v>
      </c>
      <c r="M230" t="str">
        <f t="shared" si="5"/>
        <v>Medium</v>
      </c>
    </row>
    <row r="231" spans="1:13" x14ac:dyDescent="0.35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5</v>
      </c>
      <c r="M231" t="str">
        <f t="shared" si="5"/>
        <v>Medium</v>
      </c>
    </row>
    <row r="232" spans="1:13" x14ac:dyDescent="0.35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7</v>
      </c>
      <c r="M232" t="str">
        <f t="shared" si="5"/>
        <v>High</v>
      </c>
    </row>
    <row r="233" spans="1:13" x14ac:dyDescent="0.35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6</v>
      </c>
      <c r="M233" t="str">
        <f t="shared" si="5"/>
        <v>Medium</v>
      </c>
    </row>
    <row r="234" spans="1:13" x14ac:dyDescent="0.35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  <c r="M234" t="str">
        <f t="shared" si="5"/>
        <v>Medium</v>
      </c>
    </row>
    <row r="235" spans="1:13" x14ac:dyDescent="0.35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5</v>
      </c>
      <c r="M235" t="str">
        <f t="shared" si="5"/>
        <v>Medium</v>
      </c>
    </row>
    <row r="236" spans="1:13" x14ac:dyDescent="0.35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6</v>
      </c>
      <c r="M236" t="str">
        <f t="shared" si="5"/>
        <v>Medium</v>
      </c>
    </row>
    <row r="237" spans="1:13" x14ac:dyDescent="0.35">
      <c r="A237">
        <v>7.2</v>
      </c>
      <c r="B237">
        <v>0.63</v>
      </c>
      <c r="C237">
        <v>0</v>
      </c>
      <c r="D237">
        <v>1.9</v>
      </c>
      <c r="E237">
        <v>9.7000000000000003E-2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6</v>
      </c>
      <c r="M237" t="str">
        <f t="shared" si="5"/>
        <v>Medium</v>
      </c>
    </row>
    <row r="238" spans="1:13" x14ac:dyDescent="0.35">
      <c r="A238">
        <v>7.2</v>
      </c>
      <c r="B238">
        <v>0.63</v>
      </c>
      <c r="C238">
        <v>0</v>
      </c>
      <c r="D238">
        <v>1.9</v>
      </c>
      <c r="E238">
        <v>9.7000000000000003E-2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6</v>
      </c>
      <c r="M238" t="str">
        <f t="shared" si="5"/>
        <v>Medium</v>
      </c>
    </row>
    <row r="239" spans="1:13" x14ac:dyDescent="0.35">
      <c r="A239">
        <v>7.2</v>
      </c>
      <c r="B239">
        <v>0.64500000000000002</v>
      </c>
      <c r="C239">
        <v>0</v>
      </c>
      <c r="D239">
        <v>1.9</v>
      </c>
      <c r="E239">
        <v>9.7000000000000003E-2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6</v>
      </c>
      <c r="M239" t="str">
        <f t="shared" si="5"/>
        <v>Medium</v>
      </c>
    </row>
    <row r="240" spans="1:13" x14ac:dyDescent="0.35">
      <c r="A240">
        <v>7.2</v>
      </c>
      <c r="B240">
        <v>0.63</v>
      </c>
      <c r="C240">
        <v>0</v>
      </c>
      <c r="D240">
        <v>1.9</v>
      </c>
      <c r="E240">
        <v>9.7000000000000003E-2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6</v>
      </c>
      <c r="M240" t="str">
        <f t="shared" si="5"/>
        <v>Medium</v>
      </c>
    </row>
    <row r="241" spans="1:13" x14ac:dyDescent="0.35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6</v>
      </c>
      <c r="M241" t="str">
        <f t="shared" si="5"/>
        <v>Medium</v>
      </c>
    </row>
    <row r="242" spans="1:13" x14ac:dyDescent="0.35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5</v>
      </c>
      <c r="M242" t="str">
        <f t="shared" si="5"/>
        <v>Medium</v>
      </c>
    </row>
    <row r="243" spans="1:13" x14ac:dyDescent="0.35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6</v>
      </c>
      <c r="M243" t="str">
        <f t="shared" si="5"/>
        <v>Medium</v>
      </c>
    </row>
    <row r="244" spans="1:13" x14ac:dyDescent="0.35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6</v>
      </c>
      <c r="M244" t="str">
        <f t="shared" si="5"/>
        <v>Medium</v>
      </c>
    </row>
    <row r="245" spans="1:13" x14ac:dyDescent="0.35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>
        <v>1.0000500000000001</v>
      </c>
      <c r="I245">
        <v>3.07</v>
      </c>
      <c r="J245">
        <v>0.84</v>
      </c>
      <c r="K245">
        <v>9.1999999999999993</v>
      </c>
      <c r="L245">
        <v>7</v>
      </c>
      <c r="M245" t="str">
        <f t="shared" si="5"/>
        <v>High</v>
      </c>
    </row>
    <row r="246" spans="1:13" x14ac:dyDescent="0.35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>
        <v>1.0000500000000001</v>
      </c>
      <c r="I246">
        <v>3.07</v>
      </c>
      <c r="J246">
        <v>0.84</v>
      </c>
      <c r="K246">
        <v>9.1999999999999993</v>
      </c>
      <c r="L246">
        <v>7</v>
      </c>
      <c r="M246" t="str">
        <f t="shared" si="5"/>
        <v>High</v>
      </c>
    </row>
    <row r="247" spans="1:13" x14ac:dyDescent="0.35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6</v>
      </c>
      <c r="M247" t="str">
        <f t="shared" si="5"/>
        <v>Medium</v>
      </c>
    </row>
    <row r="248" spans="1:13" x14ac:dyDescent="0.35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5</v>
      </c>
      <c r="M248" t="str">
        <f t="shared" si="5"/>
        <v>Medium</v>
      </c>
    </row>
    <row r="249" spans="1:13" x14ac:dyDescent="0.35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5</v>
      </c>
      <c r="M249" t="str">
        <f t="shared" si="5"/>
        <v>Medium</v>
      </c>
    </row>
    <row r="250" spans="1:13" x14ac:dyDescent="0.35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6</v>
      </c>
      <c r="M250" t="str">
        <f t="shared" si="5"/>
        <v>Medium</v>
      </c>
    </row>
    <row r="251" spans="1:13" x14ac:dyDescent="0.35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6</v>
      </c>
      <c r="M251" t="str">
        <f t="shared" si="5"/>
        <v>Medium</v>
      </c>
    </row>
    <row r="252" spans="1:13" x14ac:dyDescent="0.35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6</v>
      </c>
      <c r="M252" t="str">
        <f t="shared" si="5"/>
        <v>Medium</v>
      </c>
    </row>
    <row r="253" spans="1:13" x14ac:dyDescent="0.35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6</v>
      </c>
      <c r="M253" t="str">
        <f t="shared" si="5"/>
        <v>Medium</v>
      </c>
    </row>
    <row r="254" spans="1:13" x14ac:dyDescent="0.35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5</v>
      </c>
      <c r="M254" t="str">
        <f t="shared" si="5"/>
        <v>Medium</v>
      </c>
    </row>
    <row r="255" spans="1:13" x14ac:dyDescent="0.35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5</v>
      </c>
      <c r="M255" t="str">
        <f t="shared" si="5"/>
        <v>Medium</v>
      </c>
    </row>
    <row r="256" spans="1:13" x14ac:dyDescent="0.35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6</v>
      </c>
      <c r="M256" t="str">
        <f t="shared" si="5"/>
        <v>Medium</v>
      </c>
    </row>
    <row r="257" spans="1:13" x14ac:dyDescent="0.35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5</v>
      </c>
      <c r="M257" t="str">
        <f t="shared" si="5"/>
        <v>Medium</v>
      </c>
    </row>
    <row r="258" spans="1:13" x14ac:dyDescent="0.35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5</v>
      </c>
      <c r="M258" t="str">
        <f t="shared" si="5"/>
        <v>Medium</v>
      </c>
    </row>
    <row r="259" spans="1:13" x14ac:dyDescent="0.35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5</v>
      </c>
      <c r="M259" t="str">
        <f t="shared" ref="M259:M322" si="6">IF(L259&gt;=7,"High",IF(L259&gt;=5,"Medium","Low"))</f>
        <v>Medium</v>
      </c>
    </row>
    <row r="260" spans="1:13" x14ac:dyDescent="0.35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5</v>
      </c>
      <c r="M260" t="str">
        <f t="shared" si="6"/>
        <v>Medium</v>
      </c>
    </row>
    <row r="261" spans="1:13" x14ac:dyDescent="0.35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7</v>
      </c>
      <c r="M261" t="str">
        <f t="shared" si="6"/>
        <v>High</v>
      </c>
    </row>
    <row r="262" spans="1:13" x14ac:dyDescent="0.35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5</v>
      </c>
      <c r="M262" t="str">
        <f t="shared" si="6"/>
        <v>Medium</v>
      </c>
    </row>
    <row r="263" spans="1:13" x14ac:dyDescent="0.35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4</v>
      </c>
      <c r="M263" t="str">
        <f t="shared" si="6"/>
        <v>Low</v>
      </c>
    </row>
    <row r="264" spans="1:13" x14ac:dyDescent="0.35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5</v>
      </c>
      <c r="M264" t="str">
        <f t="shared" si="6"/>
        <v>Medium</v>
      </c>
    </row>
    <row r="265" spans="1:13" x14ac:dyDescent="0.35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5</v>
      </c>
      <c r="M265" t="str">
        <f t="shared" si="6"/>
        <v>Medium</v>
      </c>
    </row>
    <row r="266" spans="1:13" x14ac:dyDescent="0.35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5</v>
      </c>
      <c r="M266" t="str">
        <f t="shared" si="6"/>
        <v>Medium</v>
      </c>
    </row>
    <row r="267" spans="1:13" x14ac:dyDescent="0.35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7</v>
      </c>
      <c r="M267" t="str">
        <f t="shared" si="6"/>
        <v>High</v>
      </c>
    </row>
    <row r="268" spans="1:13" x14ac:dyDescent="0.35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>
        <v>1.0002500000000001</v>
      </c>
      <c r="I268">
        <v>3.6</v>
      </c>
      <c r="J268">
        <v>0.72</v>
      </c>
      <c r="K268">
        <v>9.8000000000000007</v>
      </c>
      <c r="L268">
        <v>4</v>
      </c>
      <c r="M268" t="str">
        <f t="shared" si="6"/>
        <v>Low</v>
      </c>
    </row>
    <row r="269" spans="1:13" x14ac:dyDescent="0.35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8</v>
      </c>
      <c r="M269" t="str">
        <f t="shared" si="6"/>
        <v>High</v>
      </c>
    </row>
    <row r="270" spans="1:13" x14ac:dyDescent="0.35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6</v>
      </c>
      <c r="M270" t="str">
        <f t="shared" si="6"/>
        <v>Medium</v>
      </c>
    </row>
    <row r="271" spans="1:13" x14ac:dyDescent="0.35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6</v>
      </c>
      <c r="M271" t="str">
        <f t="shared" si="6"/>
        <v>Medium</v>
      </c>
    </row>
    <row r="272" spans="1:13" x14ac:dyDescent="0.35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6</v>
      </c>
      <c r="M272" t="str">
        <f t="shared" si="6"/>
        <v>Medium</v>
      </c>
    </row>
    <row r="273" spans="1:13" x14ac:dyDescent="0.35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6</v>
      </c>
      <c r="M273" t="str">
        <f t="shared" si="6"/>
        <v>Medium</v>
      </c>
    </row>
    <row r="274" spans="1:13" x14ac:dyDescent="0.35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5</v>
      </c>
      <c r="M274" t="str">
        <f t="shared" si="6"/>
        <v>Medium</v>
      </c>
    </row>
    <row r="275" spans="1:13" x14ac:dyDescent="0.35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5</v>
      </c>
      <c r="M275" t="str">
        <f t="shared" si="6"/>
        <v>Medium</v>
      </c>
    </row>
    <row r="276" spans="1:13" x14ac:dyDescent="0.35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5</v>
      </c>
      <c r="M276" t="str">
        <f t="shared" si="6"/>
        <v>Medium</v>
      </c>
    </row>
    <row r="277" spans="1:13" x14ac:dyDescent="0.35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6</v>
      </c>
      <c r="M277" t="str">
        <f t="shared" si="6"/>
        <v>Medium</v>
      </c>
    </row>
    <row r="278" spans="1:13" x14ac:dyDescent="0.35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6</v>
      </c>
      <c r="M278" t="str">
        <f t="shared" si="6"/>
        <v>Medium</v>
      </c>
    </row>
    <row r="279" spans="1:13" x14ac:dyDescent="0.35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6</v>
      </c>
      <c r="M279" t="str">
        <f t="shared" si="6"/>
        <v>Medium</v>
      </c>
    </row>
    <row r="280" spans="1:13" x14ac:dyDescent="0.35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8</v>
      </c>
      <c r="M280" t="str">
        <f t="shared" si="6"/>
        <v>High</v>
      </c>
    </row>
    <row r="281" spans="1:13" x14ac:dyDescent="0.35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7</v>
      </c>
      <c r="M281" t="str">
        <f t="shared" si="6"/>
        <v>High</v>
      </c>
    </row>
    <row r="282" spans="1:13" x14ac:dyDescent="0.35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6</v>
      </c>
      <c r="M282" t="str">
        <f t="shared" si="6"/>
        <v>Medium</v>
      </c>
    </row>
    <row r="283" spans="1:13" x14ac:dyDescent="0.35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7</v>
      </c>
      <c r="M283" t="str">
        <f t="shared" si="6"/>
        <v>High</v>
      </c>
    </row>
    <row r="284" spans="1:13" x14ac:dyDescent="0.35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5</v>
      </c>
      <c r="M284" t="str">
        <f t="shared" si="6"/>
        <v>Medium</v>
      </c>
    </row>
    <row r="285" spans="1:13" x14ac:dyDescent="0.35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7</v>
      </c>
      <c r="M285" t="str">
        <f t="shared" si="6"/>
        <v>High</v>
      </c>
    </row>
    <row r="286" spans="1:13" x14ac:dyDescent="0.35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>
        <v>1.0001500000000001</v>
      </c>
      <c r="I286">
        <v>3.31</v>
      </c>
      <c r="J286">
        <v>0.71</v>
      </c>
      <c r="K286">
        <v>9.8000000000000007</v>
      </c>
      <c r="L286">
        <v>5</v>
      </c>
      <c r="M286" t="str">
        <f t="shared" si="6"/>
        <v>Medium</v>
      </c>
    </row>
    <row r="287" spans="1:13" x14ac:dyDescent="0.35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>
        <v>1.0001500000000001</v>
      </c>
      <c r="I287">
        <v>3.31</v>
      </c>
      <c r="J287">
        <v>0.71</v>
      </c>
      <c r="K287">
        <v>9.8000000000000007</v>
      </c>
      <c r="L287">
        <v>5</v>
      </c>
      <c r="M287" t="str">
        <f t="shared" si="6"/>
        <v>Medium</v>
      </c>
    </row>
    <row r="288" spans="1:13" x14ac:dyDescent="0.35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6</v>
      </c>
      <c r="M288" t="str">
        <f t="shared" si="6"/>
        <v>Medium</v>
      </c>
    </row>
    <row r="289" spans="1:13" x14ac:dyDescent="0.35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6</v>
      </c>
      <c r="M289" t="str">
        <f t="shared" si="6"/>
        <v>Medium</v>
      </c>
    </row>
    <row r="290" spans="1:13" x14ac:dyDescent="0.35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7</v>
      </c>
      <c r="M290" t="str">
        <f t="shared" si="6"/>
        <v>High</v>
      </c>
    </row>
    <row r="291" spans="1:13" x14ac:dyDescent="0.35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1.0009999999999999</v>
      </c>
      <c r="I291">
        <v>3.2</v>
      </c>
      <c r="J291">
        <v>0.95</v>
      </c>
      <c r="K291">
        <v>9.1999999999999993</v>
      </c>
      <c r="L291">
        <v>5</v>
      </c>
      <c r="M291" t="str">
        <f t="shared" si="6"/>
        <v>Medium</v>
      </c>
    </row>
    <row r="292" spans="1:13" x14ac:dyDescent="0.35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7</v>
      </c>
      <c r="M292" t="str">
        <f t="shared" si="6"/>
        <v>High</v>
      </c>
    </row>
    <row r="293" spans="1:13" x14ac:dyDescent="0.35">
      <c r="A293">
        <v>11</v>
      </c>
      <c r="B293">
        <v>0.2</v>
      </c>
      <c r="C293">
        <v>0.48</v>
      </c>
      <c r="D293">
        <v>2</v>
      </c>
      <c r="E293">
        <v>0.34300000000000003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5</v>
      </c>
      <c r="M293" t="str">
        <f t="shared" si="6"/>
        <v>Medium</v>
      </c>
    </row>
    <row r="294" spans="1:13" x14ac:dyDescent="0.35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6</v>
      </c>
      <c r="M294" t="str">
        <f t="shared" si="6"/>
        <v>Medium</v>
      </c>
    </row>
    <row r="295" spans="1:13" x14ac:dyDescent="0.35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6</v>
      </c>
      <c r="M295" t="str">
        <f t="shared" si="6"/>
        <v>Medium</v>
      </c>
    </row>
    <row r="296" spans="1:13" x14ac:dyDescent="0.35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>
        <v>6</v>
      </c>
      <c r="M296" t="str">
        <f t="shared" si="6"/>
        <v>Medium</v>
      </c>
    </row>
    <row r="297" spans="1:13" x14ac:dyDescent="0.35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5</v>
      </c>
      <c r="M297" t="str">
        <f t="shared" si="6"/>
        <v>Medium</v>
      </c>
    </row>
    <row r="298" spans="1:13" x14ac:dyDescent="0.35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5</v>
      </c>
      <c r="M298" t="str">
        <f t="shared" si="6"/>
        <v>Medium</v>
      </c>
    </row>
    <row r="299" spans="1:13" x14ac:dyDescent="0.35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5</v>
      </c>
      <c r="M299" t="str">
        <f t="shared" si="6"/>
        <v>Medium</v>
      </c>
    </row>
    <row r="300" spans="1:13" x14ac:dyDescent="0.35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5</v>
      </c>
      <c r="M300" t="str">
        <f t="shared" si="6"/>
        <v>Medium</v>
      </c>
    </row>
    <row r="301" spans="1:13" x14ac:dyDescent="0.35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5</v>
      </c>
      <c r="M301" t="str">
        <f t="shared" si="6"/>
        <v>Medium</v>
      </c>
    </row>
    <row r="302" spans="1:13" x14ac:dyDescent="0.35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6</v>
      </c>
      <c r="M302" t="str">
        <f t="shared" si="6"/>
        <v>Medium</v>
      </c>
    </row>
    <row r="303" spans="1:13" x14ac:dyDescent="0.35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6</v>
      </c>
      <c r="M303" t="str">
        <f t="shared" si="6"/>
        <v>Medium</v>
      </c>
    </row>
    <row r="304" spans="1:13" x14ac:dyDescent="0.35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5</v>
      </c>
      <c r="M304" t="str">
        <f t="shared" si="6"/>
        <v>Medium</v>
      </c>
    </row>
    <row r="305" spans="1:13" x14ac:dyDescent="0.35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  <c r="M305" t="str">
        <f t="shared" si="6"/>
        <v>Medium</v>
      </c>
    </row>
    <row r="306" spans="1:13" x14ac:dyDescent="0.35">
      <c r="A306">
        <v>8.4</v>
      </c>
      <c r="B306">
        <v>0.65</v>
      </c>
      <c r="C306">
        <v>0.6</v>
      </c>
      <c r="D306">
        <v>2.1</v>
      </c>
      <c r="E306">
        <v>0.112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5</v>
      </c>
      <c r="M306" t="str">
        <f t="shared" si="6"/>
        <v>Medium</v>
      </c>
    </row>
    <row r="307" spans="1:13" x14ac:dyDescent="0.35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6</v>
      </c>
      <c r="M307" t="str">
        <f t="shared" si="6"/>
        <v>Medium</v>
      </c>
    </row>
    <row r="308" spans="1:13" x14ac:dyDescent="0.35">
      <c r="A308">
        <v>7.6</v>
      </c>
      <c r="B308">
        <v>0.62</v>
      </c>
      <c r="C308">
        <v>0.32</v>
      </c>
      <c r="D308">
        <v>2.2000000000000002</v>
      </c>
      <c r="E308">
        <v>8.2000000000000003E-2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5</v>
      </c>
      <c r="M308" t="str">
        <f t="shared" si="6"/>
        <v>Medium</v>
      </c>
    </row>
    <row r="309" spans="1:13" x14ac:dyDescent="0.35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6</v>
      </c>
      <c r="M309" t="str">
        <f t="shared" si="6"/>
        <v>Medium</v>
      </c>
    </row>
    <row r="310" spans="1:13" x14ac:dyDescent="0.35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6</v>
      </c>
      <c r="M310" t="str">
        <f t="shared" si="6"/>
        <v>Medium</v>
      </c>
    </row>
    <row r="311" spans="1:13" x14ac:dyDescent="0.35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6</v>
      </c>
      <c r="M311" t="str">
        <f t="shared" si="6"/>
        <v>Medium</v>
      </c>
    </row>
    <row r="312" spans="1:13" x14ac:dyDescent="0.35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6</v>
      </c>
      <c r="M312" t="str">
        <f t="shared" si="6"/>
        <v>Medium</v>
      </c>
    </row>
    <row r="313" spans="1:13" x14ac:dyDescent="0.35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  <c r="M313" t="str">
        <f t="shared" si="6"/>
        <v>Medium</v>
      </c>
    </row>
    <row r="314" spans="1:13" x14ac:dyDescent="0.35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6</v>
      </c>
      <c r="M314" t="str">
        <f t="shared" si="6"/>
        <v>Medium</v>
      </c>
    </row>
    <row r="315" spans="1:13" x14ac:dyDescent="0.35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5</v>
      </c>
      <c r="M315" t="str">
        <f t="shared" si="6"/>
        <v>Medium</v>
      </c>
    </row>
    <row r="316" spans="1:13" x14ac:dyDescent="0.35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5</v>
      </c>
      <c r="M316" t="str">
        <f t="shared" si="6"/>
        <v>Medium</v>
      </c>
    </row>
    <row r="317" spans="1:13" x14ac:dyDescent="0.35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6</v>
      </c>
      <c r="M317" t="str">
        <f t="shared" si="6"/>
        <v>Medium</v>
      </c>
    </row>
    <row r="318" spans="1:13" x14ac:dyDescent="0.35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5</v>
      </c>
      <c r="M318" t="str">
        <f t="shared" si="6"/>
        <v>Medium</v>
      </c>
    </row>
    <row r="319" spans="1:13" x14ac:dyDescent="0.35">
      <c r="A319">
        <v>9.6</v>
      </c>
      <c r="B319">
        <v>0.77</v>
      </c>
      <c r="C319">
        <v>0.12</v>
      </c>
      <c r="D319">
        <v>2.9</v>
      </c>
      <c r="E319">
        <v>8.2000000000000003E-2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6</v>
      </c>
      <c r="M319" t="str">
        <f t="shared" si="6"/>
        <v>Medium</v>
      </c>
    </row>
    <row r="320" spans="1:13" x14ac:dyDescent="0.35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7</v>
      </c>
      <c r="M320" t="str">
        <f t="shared" si="6"/>
        <v>High</v>
      </c>
    </row>
    <row r="321" spans="1:13" x14ac:dyDescent="0.35">
      <c r="A321">
        <v>9.6</v>
      </c>
      <c r="B321">
        <v>0.77</v>
      </c>
      <c r="C321">
        <v>0.12</v>
      </c>
      <c r="D321">
        <v>2.9</v>
      </c>
      <c r="E321">
        <v>8.2000000000000003E-2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6</v>
      </c>
      <c r="M321" t="str">
        <f t="shared" si="6"/>
        <v>Medium</v>
      </c>
    </row>
    <row r="322" spans="1:13" x14ac:dyDescent="0.35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7</v>
      </c>
      <c r="M322" t="str">
        <f t="shared" si="6"/>
        <v>High</v>
      </c>
    </row>
    <row r="323" spans="1:13" x14ac:dyDescent="0.35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5</v>
      </c>
      <c r="M323" t="str">
        <f t="shared" ref="M323:M386" si="7">IF(L323&gt;=7,"High",IF(L323&gt;=5,"Medium","Low"))</f>
        <v>Medium</v>
      </c>
    </row>
    <row r="324" spans="1:13" x14ac:dyDescent="0.35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5</v>
      </c>
      <c r="M324" t="str">
        <f t="shared" si="7"/>
        <v>Medium</v>
      </c>
    </row>
    <row r="325" spans="1:13" x14ac:dyDescent="0.35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  <c r="M325" t="str">
        <f t="shared" si="7"/>
        <v>Medium</v>
      </c>
    </row>
    <row r="326" spans="1:13" x14ac:dyDescent="0.35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9.1999999999999993</v>
      </c>
      <c r="L326">
        <v>6</v>
      </c>
      <c r="M326" t="str">
        <f t="shared" si="7"/>
        <v>Medium</v>
      </c>
    </row>
    <row r="327" spans="1:13" x14ac:dyDescent="0.35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9.1999999999999993</v>
      </c>
      <c r="L327">
        <v>6</v>
      </c>
      <c r="M327" t="str">
        <f t="shared" si="7"/>
        <v>Medium</v>
      </c>
    </row>
    <row r="328" spans="1:13" x14ac:dyDescent="0.35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7</v>
      </c>
      <c r="M328" t="str">
        <f t="shared" si="7"/>
        <v>High</v>
      </c>
    </row>
    <row r="329" spans="1:13" x14ac:dyDescent="0.35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  <c r="M329" t="str">
        <f t="shared" si="7"/>
        <v>Medium</v>
      </c>
    </row>
    <row r="330" spans="1:13" x14ac:dyDescent="0.35">
      <c r="A330">
        <v>13.4</v>
      </c>
      <c r="B330">
        <v>0.27</v>
      </c>
      <c r="C330">
        <v>0.62</v>
      </c>
      <c r="D330">
        <v>2.6</v>
      </c>
      <c r="E330">
        <v>8.2000000000000003E-2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9.6999999999999993</v>
      </c>
      <c r="L330">
        <v>6</v>
      </c>
      <c r="M330" t="str">
        <f t="shared" si="7"/>
        <v>Medium</v>
      </c>
    </row>
    <row r="331" spans="1:13" x14ac:dyDescent="0.35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5</v>
      </c>
      <c r="M331" t="str">
        <f t="shared" si="7"/>
        <v>Medium</v>
      </c>
    </row>
    <row r="332" spans="1:13" x14ac:dyDescent="0.35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  <c r="M332" t="str">
        <f t="shared" si="7"/>
        <v>Medium</v>
      </c>
    </row>
    <row r="333" spans="1:13" x14ac:dyDescent="0.35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  <c r="M333" t="str">
        <f t="shared" si="7"/>
        <v>Medium</v>
      </c>
    </row>
    <row r="334" spans="1:13" x14ac:dyDescent="0.35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6</v>
      </c>
      <c r="M334" t="str">
        <f t="shared" si="7"/>
        <v>Medium</v>
      </c>
    </row>
    <row r="335" spans="1:13" x14ac:dyDescent="0.35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5</v>
      </c>
      <c r="M335" t="str">
        <f t="shared" si="7"/>
        <v>Medium</v>
      </c>
    </row>
    <row r="336" spans="1:13" x14ac:dyDescent="0.35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7</v>
      </c>
      <c r="M336" t="str">
        <f t="shared" si="7"/>
        <v>High</v>
      </c>
    </row>
    <row r="337" spans="1:13" x14ac:dyDescent="0.35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7</v>
      </c>
      <c r="M337" t="str">
        <f t="shared" si="7"/>
        <v>High</v>
      </c>
    </row>
    <row r="338" spans="1:13" x14ac:dyDescent="0.35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6</v>
      </c>
      <c r="M338" t="str">
        <f t="shared" si="7"/>
        <v>Medium</v>
      </c>
    </row>
    <row r="339" spans="1:13" x14ac:dyDescent="0.35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5</v>
      </c>
      <c r="M339" t="str">
        <f t="shared" si="7"/>
        <v>Medium</v>
      </c>
    </row>
    <row r="340" spans="1:13" x14ac:dyDescent="0.35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>
        <v>1.0007999999999999</v>
      </c>
      <c r="I340">
        <v>3.16</v>
      </c>
      <c r="J340">
        <v>1</v>
      </c>
      <c r="K340">
        <v>11.5</v>
      </c>
      <c r="L340">
        <v>6</v>
      </c>
      <c r="M340" t="str">
        <f t="shared" si="7"/>
        <v>Medium</v>
      </c>
    </row>
    <row r="341" spans="1:13" x14ac:dyDescent="0.35">
      <c r="A341">
        <v>12.5</v>
      </c>
      <c r="B341">
        <v>0.28000000000000003</v>
      </c>
      <c r="C341">
        <v>0.54</v>
      </c>
      <c r="D341">
        <v>2.2999999999999998</v>
      </c>
      <c r="E341">
        <v>8.2000000000000003E-2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7</v>
      </c>
      <c r="M341" t="str">
        <f t="shared" si="7"/>
        <v>High</v>
      </c>
    </row>
    <row r="342" spans="1:13" x14ac:dyDescent="0.35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6</v>
      </c>
      <c r="M342" t="str">
        <f t="shared" si="7"/>
        <v>Medium</v>
      </c>
    </row>
    <row r="343" spans="1:13" x14ac:dyDescent="0.35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6</v>
      </c>
      <c r="M343" t="str">
        <f t="shared" si="7"/>
        <v>Medium</v>
      </c>
    </row>
    <row r="344" spans="1:13" x14ac:dyDescent="0.35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6</v>
      </c>
      <c r="M344" t="str">
        <f t="shared" si="7"/>
        <v>Medium</v>
      </c>
    </row>
    <row r="345" spans="1:13" x14ac:dyDescent="0.35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6</v>
      </c>
      <c r="M345" t="str">
        <f t="shared" si="7"/>
        <v>Medium</v>
      </c>
    </row>
    <row r="346" spans="1:13" x14ac:dyDescent="0.35">
      <c r="A346">
        <v>11.9</v>
      </c>
      <c r="B346">
        <v>0.56999999999999995</v>
      </c>
      <c r="C346">
        <v>0.5</v>
      </c>
      <c r="D346">
        <v>2.6</v>
      </c>
      <c r="E346">
        <v>8.2000000000000003E-2</v>
      </c>
      <c r="F346">
        <v>6</v>
      </c>
      <c r="G346">
        <v>32</v>
      </c>
      <c r="H346">
        <v>1.0005999999999999</v>
      </c>
      <c r="I346">
        <v>3.12</v>
      </c>
      <c r="J346">
        <v>0.78</v>
      </c>
      <c r="K346">
        <v>10.7</v>
      </c>
      <c r="L346">
        <v>6</v>
      </c>
      <c r="M346" t="str">
        <f t="shared" si="7"/>
        <v>Medium</v>
      </c>
    </row>
    <row r="347" spans="1:13" x14ac:dyDescent="0.35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5</v>
      </c>
      <c r="M347" t="str">
        <f t="shared" si="7"/>
        <v>Medium</v>
      </c>
    </row>
    <row r="348" spans="1:13" x14ac:dyDescent="0.35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7</v>
      </c>
      <c r="M348" t="str">
        <f t="shared" si="7"/>
        <v>High</v>
      </c>
    </row>
    <row r="349" spans="1:13" x14ac:dyDescent="0.35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6</v>
      </c>
      <c r="M349" t="str">
        <f t="shared" si="7"/>
        <v>Medium</v>
      </c>
    </row>
    <row r="350" spans="1:13" x14ac:dyDescent="0.35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6</v>
      </c>
      <c r="M350" t="str">
        <f t="shared" si="7"/>
        <v>Medium</v>
      </c>
    </row>
    <row r="351" spans="1:13" x14ac:dyDescent="0.35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6</v>
      </c>
      <c r="M351" t="str">
        <f t="shared" si="7"/>
        <v>Medium</v>
      </c>
    </row>
    <row r="352" spans="1:13" x14ac:dyDescent="0.35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>
        <v>6</v>
      </c>
      <c r="M352" t="str">
        <f t="shared" si="7"/>
        <v>Medium</v>
      </c>
    </row>
    <row r="353" spans="1:13" x14ac:dyDescent="0.35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6</v>
      </c>
      <c r="M353" t="str">
        <f t="shared" si="7"/>
        <v>Medium</v>
      </c>
    </row>
    <row r="354" spans="1:13" x14ac:dyDescent="0.35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5</v>
      </c>
      <c r="M354" t="str">
        <f t="shared" si="7"/>
        <v>Medium</v>
      </c>
    </row>
    <row r="355" spans="1:13" x14ac:dyDescent="0.35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5</v>
      </c>
      <c r="M355" t="str">
        <f t="shared" si="7"/>
        <v>Medium</v>
      </c>
    </row>
    <row r="356" spans="1:13" x14ac:dyDescent="0.35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40.5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6</v>
      </c>
      <c r="M356" t="str">
        <f t="shared" si="7"/>
        <v>Medium</v>
      </c>
    </row>
    <row r="357" spans="1:13" x14ac:dyDescent="0.35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6</v>
      </c>
      <c r="M357" t="str">
        <f t="shared" si="7"/>
        <v>Medium</v>
      </c>
    </row>
    <row r="358" spans="1:13" x14ac:dyDescent="0.35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5</v>
      </c>
      <c r="M358" t="str">
        <f t="shared" si="7"/>
        <v>Medium</v>
      </c>
    </row>
    <row r="359" spans="1:13" x14ac:dyDescent="0.35">
      <c r="A359">
        <v>10.5</v>
      </c>
      <c r="B359">
        <v>0.42</v>
      </c>
      <c r="C359">
        <v>0.66</v>
      </c>
      <c r="D359">
        <v>2.95</v>
      </c>
      <c r="E359">
        <v>0.11600000000000001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  <c r="M359" t="str">
        <f t="shared" si="7"/>
        <v>High</v>
      </c>
    </row>
    <row r="360" spans="1:13" x14ac:dyDescent="0.35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  <c r="M360" t="str">
        <f t="shared" si="7"/>
        <v>High</v>
      </c>
    </row>
    <row r="361" spans="1:13" x14ac:dyDescent="0.35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>
        <v>1.0009999999999999</v>
      </c>
      <c r="I361">
        <v>3.17</v>
      </c>
      <c r="J361">
        <v>0.68</v>
      </c>
      <c r="K361">
        <v>9.8000000000000007</v>
      </c>
      <c r="L361">
        <v>6</v>
      </c>
      <c r="M361" t="str">
        <f t="shared" si="7"/>
        <v>Medium</v>
      </c>
    </row>
    <row r="362" spans="1:13" x14ac:dyDescent="0.35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5</v>
      </c>
      <c r="M362" t="str">
        <f t="shared" si="7"/>
        <v>Medium</v>
      </c>
    </row>
    <row r="363" spans="1:13" x14ac:dyDescent="0.35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6</v>
      </c>
      <c r="M363" t="str">
        <f t="shared" si="7"/>
        <v>Medium</v>
      </c>
    </row>
    <row r="364" spans="1:13" x14ac:dyDescent="0.35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5</v>
      </c>
      <c r="M364" t="str">
        <f t="shared" si="7"/>
        <v>Medium</v>
      </c>
    </row>
    <row r="365" spans="1:13" x14ac:dyDescent="0.35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5</v>
      </c>
      <c r="M365" t="str">
        <f t="shared" si="7"/>
        <v>Medium</v>
      </c>
    </row>
    <row r="366" spans="1:13" x14ac:dyDescent="0.35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7</v>
      </c>
      <c r="M366" t="str">
        <f t="shared" si="7"/>
        <v>High</v>
      </c>
    </row>
    <row r="367" spans="1:13" x14ac:dyDescent="0.35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6</v>
      </c>
      <c r="M367" t="str">
        <f t="shared" si="7"/>
        <v>Medium</v>
      </c>
    </row>
    <row r="368" spans="1:13" x14ac:dyDescent="0.35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7</v>
      </c>
      <c r="M368" t="str">
        <f t="shared" si="7"/>
        <v>High</v>
      </c>
    </row>
    <row r="369" spans="1:13" x14ac:dyDescent="0.35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  <c r="M369" t="str">
        <f t="shared" si="7"/>
        <v>Medium</v>
      </c>
    </row>
    <row r="370" spans="1:13" x14ac:dyDescent="0.35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5</v>
      </c>
      <c r="M370" t="str">
        <f t="shared" si="7"/>
        <v>Medium</v>
      </c>
    </row>
    <row r="371" spans="1:13" x14ac:dyDescent="0.35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7</v>
      </c>
      <c r="M371" t="str">
        <f t="shared" si="7"/>
        <v>High</v>
      </c>
    </row>
    <row r="372" spans="1:13" x14ac:dyDescent="0.35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5</v>
      </c>
      <c r="M372" t="str">
        <f t="shared" si="7"/>
        <v>Medium</v>
      </c>
    </row>
    <row r="373" spans="1:13" x14ac:dyDescent="0.35">
      <c r="A373">
        <v>7.9</v>
      </c>
      <c r="B373">
        <v>0.24</v>
      </c>
      <c r="C373">
        <v>0.4</v>
      </c>
      <c r="D373">
        <v>1.6</v>
      </c>
      <c r="E373">
        <v>5.6000000000000001E-2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6</v>
      </c>
      <c r="M373" t="str">
        <f t="shared" si="7"/>
        <v>Medium</v>
      </c>
    </row>
    <row r="374" spans="1:13" x14ac:dyDescent="0.35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6</v>
      </c>
      <c r="M374" t="str">
        <f t="shared" si="7"/>
        <v>Medium</v>
      </c>
    </row>
    <row r="375" spans="1:13" x14ac:dyDescent="0.35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5</v>
      </c>
      <c r="M375" t="str">
        <f t="shared" si="7"/>
        <v>Medium</v>
      </c>
    </row>
    <row r="376" spans="1:13" x14ac:dyDescent="0.35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>
        <v>1.0014000000000001</v>
      </c>
      <c r="I376">
        <v>3.01</v>
      </c>
      <c r="J376">
        <v>0.81</v>
      </c>
      <c r="K376">
        <v>10.8</v>
      </c>
      <c r="L376">
        <v>6</v>
      </c>
      <c r="M376" t="str">
        <f t="shared" si="7"/>
        <v>Medium</v>
      </c>
    </row>
    <row r="377" spans="1:13" x14ac:dyDescent="0.35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7</v>
      </c>
      <c r="M377" t="str">
        <f t="shared" si="7"/>
        <v>High</v>
      </c>
    </row>
    <row r="378" spans="1:13" x14ac:dyDescent="0.35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>
        <v>1.0003</v>
      </c>
      <c r="I378">
        <v>3.26</v>
      </c>
      <c r="J378">
        <v>1.1100000000000001</v>
      </c>
      <c r="K378">
        <v>11</v>
      </c>
      <c r="L378">
        <v>6</v>
      </c>
      <c r="M378" t="str">
        <f t="shared" si="7"/>
        <v>Medium</v>
      </c>
    </row>
    <row r="379" spans="1:13" x14ac:dyDescent="0.35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7</v>
      </c>
      <c r="M379" t="str">
        <f t="shared" si="7"/>
        <v>High</v>
      </c>
    </row>
    <row r="380" spans="1:13" x14ac:dyDescent="0.35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6</v>
      </c>
      <c r="M380" t="str">
        <f t="shared" si="7"/>
        <v>Medium</v>
      </c>
    </row>
    <row r="381" spans="1:13" x14ac:dyDescent="0.35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6</v>
      </c>
      <c r="M381" t="str">
        <f t="shared" si="7"/>
        <v>Medium</v>
      </c>
    </row>
    <row r="382" spans="1:13" x14ac:dyDescent="0.35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6</v>
      </c>
      <c r="M382" t="str">
        <f t="shared" si="7"/>
        <v>Medium</v>
      </c>
    </row>
    <row r="383" spans="1:13" x14ac:dyDescent="0.35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>
        <v>6</v>
      </c>
      <c r="M383" t="str">
        <f t="shared" si="7"/>
        <v>Medium</v>
      </c>
    </row>
    <row r="384" spans="1:13" x14ac:dyDescent="0.35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6</v>
      </c>
      <c r="M384" t="str">
        <f t="shared" si="7"/>
        <v>Medium</v>
      </c>
    </row>
    <row r="385" spans="1:13" x14ac:dyDescent="0.35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6</v>
      </c>
      <c r="M385" t="str">
        <f t="shared" si="7"/>
        <v>Medium</v>
      </c>
    </row>
    <row r="386" spans="1:13" x14ac:dyDescent="0.35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5</v>
      </c>
      <c r="M386" t="str">
        <f t="shared" si="7"/>
        <v>Medium</v>
      </c>
    </row>
    <row r="387" spans="1:13" x14ac:dyDescent="0.35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6</v>
      </c>
      <c r="M387" t="str">
        <f t="shared" ref="M387:M450" si="8">IF(L387&gt;=7,"High",IF(L387&gt;=5,"Medium","Low"))</f>
        <v>Medium</v>
      </c>
    </row>
    <row r="388" spans="1:13" x14ac:dyDescent="0.35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6</v>
      </c>
      <c r="M388" t="str">
        <f t="shared" si="8"/>
        <v>Medium</v>
      </c>
    </row>
    <row r="389" spans="1:13" x14ac:dyDescent="0.35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6</v>
      </c>
      <c r="M389" t="str">
        <f t="shared" si="8"/>
        <v>Medium</v>
      </c>
    </row>
    <row r="390" spans="1:13" x14ac:dyDescent="0.35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6</v>
      </c>
      <c r="M390" t="str">
        <f t="shared" si="8"/>
        <v>Medium</v>
      </c>
    </row>
    <row r="391" spans="1:13" x14ac:dyDescent="0.35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7</v>
      </c>
      <c r="M391" t="str">
        <f t="shared" si="8"/>
        <v>High</v>
      </c>
    </row>
    <row r="392" spans="1:13" x14ac:dyDescent="0.35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8</v>
      </c>
      <c r="M392" t="str">
        <f t="shared" si="8"/>
        <v>High</v>
      </c>
    </row>
    <row r="393" spans="1:13" x14ac:dyDescent="0.35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>
        <v>6</v>
      </c>
      <c r="M393" t="str">
        <f t="shared" si="8"/>
        <v>Medium</v>
      </c>
    </row>
    <row r="394" spans="1:13" x14ac:dyDescent="0.35">
      <c r="A394">
        <v>9.5</v>
      </c>
      <c r="B394">
        <v>0.37</v>
      </c>
      <c r="C394">
        <v>0.52</v>
      </c>
      <c r="D394">
        <v>2</v>
      </c>
      <c r="E394">
        <v>8.2000000000000003E-2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  <c r="M394" t="str">
        <f t="shared" si="8"/>
        <v>Medium</v>
      </c>
    </row>
    <row r="395" spans="1:13" x14ac:dyDescent="0.35">
      <c r="A395">
        <v>8.4</v>
      </c>
      <c r="B395">
        <v>0.66500000000000004</v>
      </c>
      <c r="C395">
        <v>0.61</v>
      </c>
      <c r="D395">
        <v>2</v>
      </c>
      <c r="E395">
        <v>0.112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  <c r="M395" t="str">
        <f t="shared" si="8"/>
        <v>Medium</v>
      </c>
    </row>
    <row r="396" spans="1:13" x14ac:dyDescent="0.35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5</v>
      </c>
      <c r="M396" t="str">
        <f t="shared" si="8"/>
        <v>Medium</v>
      </c>
    </row>
    <row r="397" spans="1:13" x14ac:dyDescent="0.35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>
        <v>7</v>
      </c>
      <c r="M397" t="str">
        <f t="shared" si="8"/>
        <v>High</v>
      </c>
    </row>
    <row r="398" spans="1:13" x14ac:dyDescent="0.35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5</v>
      </c>
      <c r="M398" t="str">
        <f t="shared" si="8"/>
        <v>Medium</v>
      </c>
    </row>
    <row r="399" spans="1:13" x14ac:dyDescent="0.35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6</v>
      </c>
      <c r="M399" t="str">
        <f t="shared" si="8"/>
        <v>Medium</v>
      </c>
    </row>
    <row r="400" spans="1:13" x14ac:dyDescent="0.35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6</v>
      </c>
      <c r="M400" t="str">
        <f t="shared" si="8"/>
        <v>Medium</v>
      </c>
    </row>
    <row r="401" spans="1:13" x14ac:dyDescent="0.35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5</v>
      </c>
      <c r="M401" t="str">
        <f t="shared" si="8"/>
        <v>Medium</v>
      </c>
    </row>
    <row r="402" spans="1:13" x14ac:dyDescent="0.35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5</v>
      </c>
      <c r="M402" t="str">
        <f t="shared" si="8"/>
        <v>Medium</v>
      </c>
    </row>
    <row r="403" spans="1:13" x14ac:dyDescent="0.35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6</v>
      </c>
      <c r="M403" t="str">
        <f t="shared" si="8"/>
        <v>Medium</v>
      </c>
    </row>
    <row r="404" spans="1:13" x14ac:dyDescent="0.35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  <c r="M404" t="str">
        <f t="shared" si="8"/>
        <v>Medium</v>
      </c>
    </row>
    <row r="405" spans="1:13" x14ac:dyDescent="0.35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6</v>
      </c>
      <c r="M405" t="str">
        <f t="shared" si="8"/>
        <v>Medium</v>
      </c>
    </row>
    <row r="406" spans="1:13" x14ac:dyDescent="0.35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5</v>
      </c>
      <c r="M406" t="str">
        <f t="shared" si="8"/>
        <v>Medium</v>
      </c>
    </row>
    <row r="407" spans="1:13" x14ac:dyDescent="0.35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6</v>
      </c>
      <c r="M407" t="str">
        <f t="shared" si="8"/>
        <v>Medium</v>
      </c>
    </row>
    <row r="408" spans="1:13" x14ac:dyDescent="0.35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6</v>
      </c>
      <c r="M408" t="str">
        <f t="shared" si="8"/>
        <v>Medium</v>
      </c>
    </row>
    <row r="409" spans="1:13" x14ac:dyDescent="0.35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7</v>
      </c>
      <c r="M409" t="str">
        <f t="shared" si="8"/>
        <v>High</v>
      </c>
    </row>
    <row r="410" spans="1:13" x14ac:dyDescent="0.35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  <c r="M410" t="str">
        <f t="shared" si="8"/>
        <v>Medium</v>
      </c>
    </row>
    <row r="411" spans="1:13" x14ac:dyDescent="0.35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4</v>
      </c>
      <c r="M411" t="str">
        <f t="shared" si="8"/>
        <v>Low</v>
      </c>
    </row>
    <row r="412" spans="1:13" x14ac:dyDescent="0.35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6</v>
      </c>
      <c r="M412" t="str">
        <f t="shared" si="8"/>
        <v>Medium</v>
      </c>
    </row>
    <row r="413" spans="1:13" x14ac:dyDescent="0.35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5</v>
      </c>
      <c r="M413" t="str">
        <f t="shared" si="8"/>
        <v>Medium</v>
      </c>
    </row>
    <row r="414" spans="1:13" x14ac:dyDescent="0.35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5</v>
      </c>
      <c r="M414" t="str">
        <f t="shared" si="8"/>
        <v>Medium</v>
      </c>
    </row>
    <row r="415" spans="1:13" x14ac:dyDescent="0.35">
      <c r="A415">
        <v>9.9</v>
      </c>
      <c r="B415">
        <v>0.4</v>
      </c>
      <c r="C415">
        <v>0.53</v>
      </c>
      <c r="D415">
        <v>6.7</v>
      </c>
      <c r="E415">
        <v>9.7000000000000003E-2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7</v>
      </c>
      <c r="M415" t="str">
        <f t="shared" si="8"/>
        <v>High</v>
      </c>
    </row>
    <row r="416" spans="1:13" x14ac:dyDescent="0.35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5</v>
      </c>
      <c r="M416" t="str">
        <f t="shared" si="8"/>
        <v>Medium</v>
      </c>
    </row>
    <row r="417" spans="1:13" x14ac:dyDescent="0.35">
      <c r="A417">
        <v>8.6</v>
      </c>
      <c r="B417">
        <v>0.72499999999999998</v>
      </c>
      <c r="C417">
        <v>0.24</v>
      </c>
      <c r="D417">
        <v>6.6</v>
      </c>
      <c r="E417">
        <v>0.11700000000000001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9.3000000000000007</v>
      </c>
      <c r="L417">
        <v>5</v>
      </c>
      <c r="M417" t="str">
        <f t="shared" si="8"/>
        <v>Medium</v>
      </c>
    </row>
    <row r="418" spans="1:13" x14ac:dyDescent="0.35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  <c r="M418" t="str">
        <f t="shared" si="8"/>
        <v>Medium</v>
      </c>
    </row>
    <row r="419" spans="1:13" x14ac:dyDescent="0.35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5</v>
      </c>
      <c r="M419" t="str">
        <f t="shared" si="8"/>
        <v>Medium</v>
      </c>
    </row>
    <row r="420" spans="1:13" x14ac:dyDescent="0.35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6</v>
      </c>
      <c r="M420" t="str">
        <f t="shared" si="8"/>
        <v>Medium</v>
      </c>
    </row>
    <row r="421" spans="1:13" x14ac:dyDescent="0.35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5</v>
      </c>
      <c r="M421" t="str">
        <f t="shared" si="8"/>
        <v>Medium</v>
      </c>
    </row>
    <row r="422" spans="1:13" x14ac:dyDescent="0.35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7</v>
      </c>
      <c r="M422" t="str">
        <f t="shared" si="8"/>
        <v>High</v>
      </c>
    </row>
    <row r="423" spans="1:13" x14ac:dyDescent="0.35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7</v>
      </c>
      <c r="M423" t="str">
        <f t="shared" si="8"/>
        <v>High</v>
      </c>
    </row>
    <row r="424" spans="1:13" x14ac:dyDescent="0.35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5</v>
      </c>
      <c r="M424" t="str">
        <f t="shared" si="8"/>
        <v>Medium</v>
      </c>
    </row>
    <row r="425" spans="1:13" x14ac:dyDescent="0.35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7</v>
      </c>
      <c r="M425" t="str">
        <f t="shared" si="8"/>
        <v>High</v>
      </c>
    </row>
    <row r="426" spans="1:13" x14ac:dyDescent="0.35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5</v>
      </c>
      <c r="M426" t="str">
        <f t="shared" si="8"/>
        <v>Medium</v>
      </c>
    </row>
    <row r="427" spans="1:13" x14ac:dyDescent="0.35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7</v>
      </c>
      <c r="M427" t="str">
        <f t="shared" si="8"/>
        <v>High</v>
      </c>
    </row>
    <row r="428" spans="1:13" x14ac:dyDescent="0.35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6</v>
      </c>
      <c r="M428" t="str">
        <f t="shared" si="8"/>
        <v>Medium</v>
      </c>
    </row>
    <row r="429" spans="1:13" x14ac:dyDescent="0.35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6</v>
      </c>
      <c r="M429" t="str">
        <f t="shared" si="8"/>
        <v>Medium</v>
      </c>
    </row>
    <row r="430" spans="1:13" x14ac:dyDescent="0.35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5</v>
      </c>
      <c r="M430" t="str">
        <f t="shared" si="8"/>
        <v>Medium</v>
      </c>
    </row>
    <row r="431" spans="1:13" x14ac:dyDescent="0.35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6</v>
      </c>
      <c r="M431" t="str">
        <f t="shared" si="8"/>
        <v>Medium</v>
      </c>
    </row>
    <row r="432" spans="1:13" x14ac:dyDescent="0.35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7</v>
      </c>
      <c r="M432" t="str">
        <f t="shared" si="8"/>
        <v>High</v>
      </c>
    </row>
    <row r="433" spans="1:13" x14ac:dyDescent="0.35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5</v>
      </c>
      <c r="M433" t="str">
        <f t="shared" si="8"/>
        <v>Medium</v>
      </c>
    </row>
    <row r="434" spans="1:13" x14ac:dyDescent="0.35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6</v>
      </c>
      <c r="M434" t="str">
        <f t="shared" si="8"/>
        <v>Medium</v>
      </c>
    </row>
    <row r="435" spans="1:13" x14ac:dyDescent="0.35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>
        <v>5</v>
      </c>
      <c r="M435" t="str">
        <f t="shared" si="8"/>
        <v>Medium</v>
      </c>
    </row>
    <row r="436" spans="1:13" x14ac:dyDescent="0.35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6</v>
      </c>
      <c r="M436" t="str">
        <f t="shared" si="8"/>
        <v>Medium</v>
      </c>
    </row>
    <row r="437" spans="1:13" x14ac:dyDescent="0.35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>
        <v>5</v>
      </c>
      <c r="M437" t="str">
        <f t="shared" si="8"/>
        <v>Medium</v>
      </c>
    </row>
    <row r="438" spans="1:13" x14ac:dyDescent="0.35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6</v>
      </c>
      <c r="M438" t="str">
        <f t="shared" si="8"/>
        <v>Medium</v>
      </c>
    </row>
    <row r="439" spans="1:13" x14ac:dyDescent="0.35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6</v>
      </c>
      <c r="M439" t="str">
        <f t="shared" si="8"/>
        <v>Medium</v>
      </c>
    </row>
    <row r="440" spans="1:13" x14ac:dyDescent="0.35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6</v>
      </c>
      <c r="M440" t="str">
        <f t="shared" si="8"/>
        <v>Medium</v>
      </c>
    </row>
    <row r="441" spans="1:13" x14ac:dyDescent="0.35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5</v>
      </c>
      <c r="M441" t="str">
        <f t="shared" si="8"/>
        <v>Medium</v>
      </c>
    </row>
    <row r="442" spans="1:13" x14ac:dyDescent="0.35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8</v>
      </c>
      <c r="M442" t="str">
        <f t="shared" si="8"/>
        <v>High</v>
      </c>
    </row>
    <row r="443" spans="1:13" x14ac:dyDescent="0.35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6</v>
      </c>
      <c r="M443" t="str">
        <f t="shared" si="8"/>
        <v>Medium</v>
      </c>
    </row>
    <row r="444" spans="1:13" x14ac:dyDescent="0.35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>
        <v>7</v>
      </c>
      <c r="M444" t="str">
        <f t="shared" si="8"/>
        <v>High</v>
      </c>
    </row>
    <row r="445" spans="1:13" x14ac:dyDescent="0.35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7</v>
      </c>
      <c r="M445" t="str">
        <f t="shared" si="8"/>
        <v>High</v>
      </c>
    </row>
    <row r="446" spans="1:13" x14ac:dyDescent="0.35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7</v>
      </c>
      <c r="M446" t="str">
        <f t="shared" si="8"/>
        <v>High</v>
      </c>
    </row>
    <row r="447" spans="1:13" x14ac:dyDescent="0.35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6</v>
      </c>
      <c r="M447" t="str">
        <f t="shared" si="8"/>
        <v>Medium</v>
      </c>
    </row>
    <row r="448" spans="1:13" x14ac:dyDescent="0.35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5</v>
      </c>
      <c r="M448" t="str">
        <f t="shared" si="8"/>
        <v>Medium</v>
      </c>
    </row>
    <row r="449" spans="1:13" x14ac:dyDescent="0.35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5</v>
      </c>
      <c r="M449" t="str">
        <f t="shared" si="8"/>
        <v>Medium</v>
      </c>
    </row>
    <row r="450" spans="1:13" x14ac:dyDescent="0.35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6</v>
      </c>
      <c r="M450" t="str">
        <f t="shared" si="8"/>
        <v>Medium</v>
      </c>
    </row>
    <row r="451" spans="1:13" x14ac:dyDescent="0.35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6</v>
      </c>
      <c r="M451" t="str">
        <f t="shared" ref="M451:M514" si="9">IF(L451&gt;=7,"High",IF(L451&gt;=5,"Medium","Low"))</f>
        <v>Medium</v>
      </c>
    </row>
    <row r="452" spans="1:13" x14ac:dyDescent="0.35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6</v>
      </c>
      <c r="M452" t="str">
        <f t="shared" si="9"/>
        <v>Medium</v>
      </c>
    </row>
    <row r="453" spans="1:13" x14ac:dyDescent="0.35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6</v>
      </c>
      <c r="M453" t="str">
        <f t="shared" si="9"/>
        <v>Medium</v>
      </c>
    </row>
    <row r="454" spans="1:13" x14ac:dyDescent="0.35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6</v>
      </c>
      <c r="M454" t="str">
        <f t="shared" si="9"/>
        <v>Medium</v>
      </c>
    </row>
    <row r="455" spans="1:13" x14ac:dyDescent="0.35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7</v>
      </c>
      <c r="M455" t="str">
        <f t="shared" si="9"/>
        <v>High</v>
      </c>
    </row>
    <row r="456" spans="1:13" x14ac:dyDescent="0.35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5</v>
      </c>
      <c r="M456" t="str">
        <f t="shared" si="9"/>
        <v>Medium</v>
      </c>
    </row>
    <row r="457" spans="1:13" x14ac:dyDescent="0.35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8</v>
      </c>
      <c r="M457" t="str">
        <f t="shared" si="9"/>
        <v>High</v>
      </c>
    </row>
    <row r="458" spans="1:13" x14ac:dyDescent="0.35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5</v>
      </c>
      <c r="M458" t="str">
        <f t="shared" si="9"/>
        <v>Medium</v>
      </c>
    </row>
    <row r="459" spans="1:13" x14ac:dyDescent="0.35">
      <c r="A459">
        <v>9.1999999999999993</v>
      </c>
      <c r="B459">
        <v>0.63</v>
      </c>
      <c r="C459">
        <v>0.21</v>
      </c>
      <c r="D459">
        <v>2.7</v>
      </c>
      <c r="E459">
        <v>9.7000000000000003E-2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5</v>
      </c>
      <c r="M459" t="str">
        <f t="shared" si="9"/>
        <v>Medium</v>
      </c>
    </row>
    <row r="460" spans="1:13" x14ac:dyDescent="0.35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7</v>
      </c>
      <c r="M460" t="str">
        <f t="shared" si="9"/>
        <v>High</v>
      </c>
    </row>
    <row r="461" spans="1:13" x14ac:dyDescent="0.35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>
        <v>1.0007999999999999</v>
      </c>
      <c r="I461">
        <v>3.25</v>
      </c>
      <c r="J461">
        <v>0.56999999999999995</v>
      </c>
      <c r="K461">
        <v>9</v>
      </c>
      <c r="L461">
        <v>3</v>
      </c>
      <c r="M461" t="str">
        <f t="shared" si="9"/>
        <v>Low</v>
      </c>
    </row>
    <row r="462" spans="1:13" x14ac:dyDescent="0.35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6</v>
      </c>
      <c r="M462" t="str">
        <f t="shared" si="9"/>
        <v>Medium</v>
      </c>
    </row>
    <row r="463" spans="1:13" x14ac:dyDescent="0.35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5</v>
      </c>
      <c r="M463" t="str">
        <f t="shared" si="9"/>
        <v>Medium</v>
      </c>
    </row>
    <row r="464" spans="1:13" x14ac:dyDescent="0.35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  <c r="M464" t="str">
        <f t="shared" si="9"/>
        <v>Medium</v>
      </c>
    </row>
    <row r="465" spans="1:13" x14ac:dyDescent="0.35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5</v>
      </c>
      <c r="M465" t="str">
        <f t="shared" si="9"/>
        <v>Medium</v>
      </c>
    </row>
    <row r="466" spans="1:13" x14ac:dyDescent="0.35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6</v>
      </c>
      <c r="M466" t="str">
        <f t="shared" si="9"/>
        <v>Medium</v>
      </c>
    </row>
    <row r="467" spans="1:13" x14ac:dyDescent="0.35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>
        <v>1.0005999999999999</v>
      </c>
      <c r="I467">
        <v>3.48</v>
      </c>
      <c r="J467">
        <v>0.91</v>
      </c>
      <c r="K467">
        <v>9.6999999999999993</v>
      </c>
      <c r="L467">
        <v>5</v>
      </c>
      <c r="M467" t="str">
        <f t="shared" si="9"/>
        <v>Medium</v>
      </c>
    </row>
    <row r="468" spans="1:13" x14ac:dyDescent="0.35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6</v>
      </c>
      <c r="M468" t="str">
        <f t="shared" si="9"/>
        <v>Medium</v>
      </c>
    </row>
    <row r="469" spans="1:13" x14ac:dyDescent="0.35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6</v>
      </c>
      <c r="M469" t="str">
        <f t="shared" si="9"/>
        <v>Medium</v>
      </c>
    </row>
    <row r="470" spans="1:13" x14ac:dyDescent="0.35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6</v>
      </c>
      <c r="M470" t="str">
        <f t="shared" si="9"/>
        <v>Medium</v>
      </c>
    </row>
    <row r="471" spans="1:13" x14ac:dyDescent="0.35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5</v>
      </c>
      <c r="M471" t="str">
        <f t="shared" si="9"/>
        <v>Medium</v>
      </c>
    </row>
    <row r="472" spans="1:13" x14ac:dyDescent="0.35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5</v>
      </c>
      <c r="M472" t="str">
        <f t="shared" si="9"/>
        <v>Medium</v>
      </c>
    </row>
    <row r="473" spans="1:13" x14ac:dyDescent="0.35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  <c r="M473" t="str">
        <f t="shared" si="9"/>
        <v>Medium</v>
      </c>
    </row>
    <row r="474" spans="1:13" x14ac:dyDescent="0.35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6</v>
      </c>
      <c r="M474" t="str">
        <f t="shared" si="9"/>
        <v>Medium</v>
      </c>
    </row>
    <row r="475" spans="1:13" x14ac:dyDescent="0.35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5</v>
      </c>
      <c r="M475" t="str">
        <f t="shared" si="9"/>
        <v>Medium</v>
      </c>
    </row>
    <row r="476" spans="1:13" x14ac:dyDescent="0.35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6</v>
      </c>
      <c r="M476" t="str">
        <f t="shared" si="9"/>
        <v>Medium</v>
      </c>
    </row>
    <row r="477" spans="1:13" x14ac:dyDescent="0.35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5</v>
      </c>
      <c r="M477" t="str">
        <f t="shared" si="9"/>
        <v>Medium</v>
      </c>
    </row>
    <row r="478" spans="1:13" x14ac:dyDescent="0.35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5</v>
      </c>
      <c r="M478" t="str">
        <f t="shared" si="9"/>
        <v>Medium</v>
      </c>
    </row>
    <row r="479" spans="1:13" x14ac:dyDescent="0.35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6</v>
      </c>
      <c r="M479" t="str">
        <f t="shared" si="9"/>
        <v>Medium</v>
      </c>
    </row>
    <row r="480" spans="1:13" x14ac:dyDescent="0.35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5</v>
      </c>
      <c r="M480" t="str">
        <f t="shared" si="9"/>
        <v>Medium</v>
      </c>
    </row>
    <row r="481" spans="1:13" x14ac:dyDescent="0.35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6</v>
      </c>
      <c r="M481" t="str">
        <f t="shared" si="9"/>
        <v>Medium</v>
      </c>
    </row>
    <row r="482" spans="1:13" x14ac:dyDescent="0.35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9.1999999999999993</v>
      </c>
      <c r="L482">
        <v>5</v>
      </c>
      <c r="M482" t="str">
        <f t="shared" si="9"/>
        <v>Medium</v>
      </c>
    </row>
    <row r="483" spans="1:13" x14ac:dyDescent="0.35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8</v>
      </c>
      <c r="M483" t="str">
        <f t="shared" si="9"/>
        <v>High</v>
      </c>
    </row>
    <row r="484" spans="1:13" x14ac:dyDescent="0.35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5</v>
      </c>
      <c r="M484" t="str">
        <f t="shared" si="9"/>
        <v>Medium</v>
      </c>
    </row>
    <row r="485" spans="1:13" x14ac:dyDescent="0.35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5</v>
      </c>
      <c r="M485" t="str">
        <f t="shared" si="9"/>
        <v>Medium</v>
      </c>
    </row>
    <row r="486" spans="1:13" x14ac:dyDescent="0.35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  <c r="M486" t="str">
        <f t="shared" si="9"/>
        <v>Medium</v>
      </c>
    </row>
    <row r="487" spans="1:13" x14ac:dyDescent="0.35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5</v>
      </c>
      <c r="M487" t="str">
        <f t="shared" si="9"/>
        <v>Medium</v>
      </c>
    </row>
    <row r="488" spans="1:13" x14ac:dyDescent="0.35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5</v>
      </c>
      <c r="M488" t="str">
        <f t="shared" si="9"/>
        <v>Medium</v>
      </c>
    </row>
    <row r="489" spans="1:13" x14ac:dyDescent="0.35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6</v>
      </c>
      <c r="M489" t="str">
        <f t="shared" si="9"/>
        <v>Medium</v>
      </c>
    </row>
    <row r="490" spans="1:13" x14ac:dyDescent="0.35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>
        <v>7</v>
      </c>
      <c r="M490" t="str">
        <f t="shared" si="9"/>
        <v>High</v>
      </c>
    </row>
    <row r="491" spans="1:13" x14ac:dyDescent="0.35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6</v>
      </c>
      <c r="M491" t="str">
        <f t="shared" si="9"/>
        <v>Medium</v>
      </c>
    </row>
    <row r="492" spans="1:13" x14ac:dyDescent="0.35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6</v>
      </c>
      <c r="M492" t="str">
        <f t="shared" si="9"/>
        <v>Medium</v>
      </c>
    </row>
    <row r="493" spans="1:13" x14ac:dyDescent="0.35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7</v>
      </c>
      <c r="M493" t="str">
        <f t="shared" si="9"/>
        <v>High</v>
      </c>
    </row>
    <row r="494" spans="1:13" x14ac:dyDescent="0.35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  <c r="M494" t="str">
        <f t="shared" si="9"/>
        <v>High</v>
      </c>
    </row>
    <row r="495" spans="1:13" x14ac:dyDescent="0.35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>
        <v>6</v>
      </c>
      <c r="M495" t="str">
        <f t="shared" si="9"/>
        <v>Medium</v>
      </c>
    </row>
    <row r="496" spans="1:13" x14ac:dyDescent="0.35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6</v>
      </c>
      <c r="M496" t="str">
        <f t="shared" si="9"/>
        <v>Medium</v>
      </c>
    </row>
    <row r="497" spans="1:13" x14ac:dyDescent="0.35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8</v>
      </c>
      <c r="M497" t="str">
        <f t="shared" si="9"/>
        <v>High</v>
      </c>
    </row>
    <row r="498" spans="1:13" x14ac:dyDescent="0.35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6</v>
      </c>
      <c r="M498" t="str">
        <f t="shared" si="9"/>
        <v>Medium</v>
      </c>
    </row>
    <row r="499" spans="1:13" x14ac:dyDescent="0.35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5</v>
      </c>
      <c r="M499" t="str">
        <f t="shared" si="9"/>
        <v>Medium</v>
      </c>
    </row>
    <row r="500" spans="1:13" x14ac:dyDescent="0.35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8</v>
      </c>
      <c r="M500" t="str">
        <f t="shared" si="9"/>
        <v>High</v>
      </c>
    </row>
    <row r="501" spans="1:13" x14ac:dyDescent="0.35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>
        <v>6</v>
      </c>
      <c r="M501" t="str">
        <f t="shared" si="9"/>
        <v>Medium</v>
      </c>
    </row>
    <row r="502" spans="1:13" x14ac:dyDescent="0.35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6</v>
      </c>
      <c r="M502" t="str">
        <f t="shared" si="9"/>
        <v>Medium</v>
      </c>
    </row>
    <row r="503" spans="1:13" x14ac:dyDescent="0.35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  <c r="M503" t="str">
        <f t="shared" si="9"/>
        <v>High</v>
      </c>
    </row>
    <row r="504" spans="1:13" x14ac:dyDescent="0.35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  <c r="M504" t="str">
        <f t="shared" si="9"/>
        <v>High</v>
      </c>
    </row>
    <row r="505" spans="1:13" x14ac:dyDescent="0.35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7</v>
      </c>
      <c r="M505" t="str">
        <f t="shared" si="9"/>
        <v>High</v>
      </c>
    </row>
    <row r="506" spans="1:13" x14ac:dyDescent="0.35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7</v>
      </c>
      <c r="M506" t="str">
        <f t="shared" si="9"/>
        <v>High</v>
      </c>
    </row>
    <row r="507" spans="1:13" x14ac:dyDescent="0.35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7</v>
      </c>
      <c r="M507" t="str">
        <f t="shared" si="9"/>
        <v>High</v>
      </c>
    </row>
    <row r="508" spans="1:13" x14ac:dyDescent="0.35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7</v>
      </c>
      <c r="M508" t="str">
        <f t="shared" si="9"/>
        <v>High</v>
      </c>
    </row>
    <row r="509" spans="1:13" x14ac:dyDescent="0.35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  <c r="M509" t="str">
        <f t="shared" si="9"/>
        <v>Medium</v>
      </c>
    </row>
    <row r="510" spans="1:13" x14ac:dyDescent="0.35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6</v>
      </c>
      <c r="M510" t="str">
        <f t="shared" si="9"/>
        <v>Medium</v>
      </c>
    </row>
    <row r="511" spans="1:13" x14ac:dyDescent="0.35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7</v>
      </c>
      <c r="M511" t="str">
        <f t="shared" si="9"/>
        <v>High</v>
      </c>
    </row>
    <row r="512" spans="1:13" x14ac:dyDescent="0.35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5</v>
      </c>
      <c r="M512" t="str">
        <f t="shared" si="9"/>
        <v>Medium</v>
      </c>
    </row>
    <row r="513" spans="1:13" x14ac:dyDescent="0.35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6</v>
      </c>
      <c r="M513" t="str">
        <f t="shared" si="9"/>
        <v>Medium</v>
      </c>
    </row>
    <row r="514" spans="1:13" x14ac:dyDescent="0.35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6</v>
      </c>
      <c r="M514" t="str">
        <f t="shared" si="9"/>
        <v>Medium</v>
      </c>
    </row>
    <row r="515" spans="1:13" x14ac:dyDescent="0.35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7</v>
      </c>
      <c r="M515" t="str">
        <f t="shared" ref="M515:M578" si="10">IF(L515&gt;=7,"High",IF(L515&gt;=5,"Medium","Low"))</f>
        <v>High</v>
      </c>
    </row>
    <row r="516" spans="1:13" x14ac:dyDescent="0.35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7</v>
      </c>
      <c r="M516" t="str">
        <f t="shared" si="10"/>
        <v>High</v>
      </c>
    </row>
    <row r="517" spans="1:13" x14ac:dyDescent="0.35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1.0009999999999999</v>
      </c>
      <c r="I517">
        <v>3.31</v>
      </c>
      <c r="J517">
        <v>1.1399999999999999</v>
      </c>
      <c r="K517">
        <v>9.3000000000000007</v>
      </c>
      <c r="L517">
        <v>5</v>
      </c>
      <c r="M517" t="str">
        <f t="shared" si="10"/>
        <v>Medium</v>
      </c>
    </row>
    <row r="518" spans="1:13" x14ac:dyDescent="0.35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1.0009999999999999</v>
      </c>
      <c r="I518">
        <v>3.25</v>
      </c>
      <c r="J518">
        <v>0.74</v>
      </c>
      <c r="K518">
        <v>11.9</v>
      </c>
      <c r="L518">
        <v>6</v>
      </c>
      <c r="M518" t="str">
        <f t="shared" si="10"/>
        <v>Medium</v>
      </c>
    </row>
    <row r="519" spans="1:13" x14ac:dyDescent="0.35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3</v>
      </c>
      <c r="M519" t="str">
        <f t="shared" si="10"/>
        <v>Low</v>
      </c>
    </row>
    <row r="520" spans="1:13" x14ac:dyDescent="0.35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6</v>
      </c>
      <c r="M520" t="str">
        <f t="shared" si="10"/>
        <v>Medium</v>
      </c>
    </row>
    <row r="521" spans="1:13" x14ac:dyDescent="0.35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5</v>
      </c>
      <c r="M521" t="str">
        <f t="shared" si="10"/>
        <v>Medium</v>
      </c>
    </row>
    <row r="522" spans="1:13" x14ac:dyDescent="0.35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6</v>
      </c>
      <c r="M522" t="str">
        <f t="shared" si="10"/>
        <v>Medium</v>
      </c>
    </row>
    <row r="523" spans="1:13" x14ac:dyDescent="0.35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  <c r="M523" t="str">
        <f t="shared" si="10"/>
        <v>Medium</v>
      </c>
    </row>
    <row r="524" spans="1:13" x14ac:dyDescent="0.35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5</v>
      </c>
      <c r="M524" t="str">
        <f t="shared" si="10"/>
        <v>Medium</v>
      </c>
    </row>
    <row r="525" spans="1:13" x14ac:dyDescent="0.35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5</v>
      </c>
      <c r="M525" t="str">
        <f t="shared" si="10"/>
        <v>Medium</v>
      </c>
    </row>
    <row r="526" spans="1:13" x14ac:dyDescent="0.35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5</v>
      </c>
      <c r="M526" t="str">
        <f t="shared" si="10"/>
        <v>Medium</v>
      </c>
    </row>
    <row r="527" spans="1:13" x14ac:dyDescent="0.35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5</v>
      </c>
      <c r="M527" t="str">
        <f t="shared" si="10"/>
        <v>Medium</v>
      </c>
    </row>
    <row r="528" spans="1:13" x14ac:dyDescent="0.35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5</v>
      </c>
      <c r="M528" t="str">
        <f t="shared" si="10"/>
        <v>Medium</v>
      </c>
    </row>
    <row r="529" spans="1:13" x14ac:dyDescent="0.35">
      <c r="A529">
        <v>7</v>
      </c>
      <c r="B529">
        <v>0.38</v>
      </c>
      <c r="C529">
        <v>0.49</v>
      </c>
      <c r="D529">
        <v>2.5</v>
      </c>
      <c r="E529">
        <v>9.7000000000000003E-2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6</v>
      </c>
      <c r="M529" t="str">
        <f t="shared" si="10"/>
        <v>Medium</v>
      </c>
    </row>
    <row r="530" spans="1:13" x14ac:dyDescent="0.35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6</v>
      </c>
      <c r="M530" t="str">
        <f t="shared" si="10"/>
        <v>Medium</v>
      </c>
    </row>
    <row r="531" spans="1:13" x14ac:dyDescent="0.35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5</v>
      </c>
      <c r="M531" t="str">
        <f t="shared" si="10"/>
        <v>Medium</v>
      </c>
    </row>
    <row r="532" spans="1:13" x14ac:dyDescent="0.35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  <c r="M532" t="str">
        <f t="shared" si="10"/>
        <v>Medium</v>
      </c>
    </row>
    <row r="533" spans="1:13" x14ac:dyDescent="0.35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>
        <v>5</v>
      </c>
      <c r="M533" t="str">
        <f t="shared" si="10"/>
        <v>Medium</v>
      </c>
    </row>
    <row r="534" spans="1:13" x14ac:dyDescent="0.35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>
        <v>5</v>
      </c>
      <c r="M534" t="str">
        <f t="shared" si="10"/>
        <v>Medium</v>
      </c>
    </row>
    <row r="535" spans="1:13" x14ac:dyDescent="0.35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6</v>
      </c>
      <c r="M535" t="str">
        <f t="shared" si="10"/>
        <v>Medium</v>
      </c>
    </row>
    <row r="536" spans="1:13" x14ac:dyDescent="0.35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6</v>
      </c>
      <c r="M536" t="str">
        <f t="shared" si="10"/>
        <v>Medium</v>
      </c>
    </row>
    <row r="537" spans="1:13" x14ac:dyDescent="0.35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  <c r="M537" t="str">
        <f t="shared" si="10"/>
        <v>Medium</v>
      </c>
    </row>
    <row r="538" spans="1:13" x14ac:dyDescent="0.35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5</v>
      </c>
      <c r="M538" t="str">
        <f t="shared" si="10"/>
        <v>Medium</v>
      </c>
    </row>
    <row r="539" spans="1:13" x14ac:dyDescent="0.35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6</v>
      </c>
      <c r="M539" t="str">
        <f t="shared" si="10"/>
        <v>Medium</v>
      </c>
    </row>
    <row r="540" spans="1:13" x14ac:dyDescent="0.35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>
        <v>7</v>
      </c>
      <c r="M540" t="str">
        <f t="shared" si="10"/>
        <v>High</v>
      </c>
    </row>
    <row r="541" spans="1:13" x14ac:dyDescent="0.35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5</v>
      </c>
      <c r="M541" t="str">
        <f t="shared" si="10"/>
        <v>Medium</v>
      </c>
    </row>
    <row r="542" spans="1:13" x14ac:dyDescent="0.35">
      <c r="A542">
        <v>9.1999999999999993</v>
      </c>
      <c r="B542">
        <v>0.59</v>
      </c>
      <c r="C542">
        <v>0.24</v>
      </c>
      <c r="D542">
        <v>3.3</v>
      </c>
      <c r="E542">
        <v>0.10100000000000001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5</v>
      </c>
      <c r="M542" t="str">
        <f t="shared" si="10"/>
        <v>Medium</v>
      </c>
    </row>
    <row r="543" spans="1:13" x14ac:dyDescent="0.35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6</v>
      </c>
      <c r="M543" t="str">
        <f t="shared" si="10"/>
        <v>Medium</v>
      </c>
    </row>
    <row r="544" spans="1:13" x14ac:dyDescent="0.35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5</v>
      </c>
      <c r="M544" t="str">
        <f t="shared" si="10"/>
        <v>Medium</v>
      </c>
    </row>
    <row r="545" spans="1:13" x14ac:dyDescent="0.35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6</v>
      </c>
      <c r="M545" t="str">
        <f t="shared" si="10"/>
        <v>Medium</v>
      </c>
    </row>
    <row r="546" spans="1:13" x14ac:dyDescent="0.35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>
        <v>1.0007999999999999</v>
      </c>
      <c r="I546">
        <v>2.86</v>
      </c>
      <c r="J546">
        <v>0.79</v>
      </c>
      <c r="K546">
        <v>8.4</v>
      </c>
      <c r="L546">
        <v>6</v>
      </c>
      <c r="M546" t="str">
        <f t="shared" si="10"/>
        <v>Medium</v>
      </c>
    </row>
    <row r="547" spans="1:13" x14ac:dyDescent="0.35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5</v>
      </c>
      <c r="M547" t="str">
        <f t="shared" si="10"/>
        <v>Medium</v>
      </c>
    </row>
    <row r="548" spans="1:13" x14ac:dyDescent="0.35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6</v>
      </c>
      <c r="M548" t="str">
        <f t="shared" si="10"/>
        <v>Medium</v>
      </c>
    </row>
    <row r="549" spans="1:13" x14ac:dyDescent="0.35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6</v>
      </c>
      <c r="M549" t="str">
        <f t="shared" si="10"/>
        <v>Medium</v>
      </c>
    </row>
    <row r="550" spans="1:13" x14ac:dyDescent="0.35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6</v>
      </c>
      <c r="M550" t="str">
        <f t="shared" si="10"/>
        <v>Medium</v>
      </c>
    </row>
    <row r="551" spans="1:13" x14ac:dyDescent="0.35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6</v>
      </c>
      <c r="M551" t="str">
        <f t="shared" si="10"/>
        <v>Medium</v>
      </c>
    </row>
    <row r="552" spans="1:13" x14ac:dyDescent="0.35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6</v>
      </c>
      <c r="M552" t="str">
        <f t="shared" si="10"/>
        <v>Medium</v>
      </c>
    </row>
    <row r="553" spans="1:13" x14ac:dyDescent="0.35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  <c r="M553" t="str">
        <f t="shared" si="10"/>
        <v>Medium</v>
      </c>
    </row>
    <row r="554" spans="1:13" x14ac:dyDescent="0.35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  <c r="M554" t="str">
        <f t="shared" si="10"/>
        <v>Medium</v>
      </c>
    </row>
    <row r="555" spans="1:13" x14ac:dyDescent="0.35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5</v>
      </c>
      <c r="M555" t="str">
        <f t="shared" si="10"/>
        <v>Medium</v>
      </c>
    </row>
    <row r="556" spans="1:13" x14ac:dyDescent="0.35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5</v>
      </c>
      <c r="M556" t="str">
        <f t="shared" si="10"/>
        <v>Medium</v>
      </c>
    </row>
    <row r="557" spans="1:13" x14ac:dyDescent="0.35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5</v>
      </c>
      <c r="M557" t="str">
        <f t="shared" si="10"/>
        <v>Medium</v>
      </c>
    </row>
    <row r="558" spans="1:13" x14ac:dyDescent="0.35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>
        <v>1.0002</v>
      </c>
      <c r="I558">
        <v>3.07</v>
      </c>
      <c r="J558">
        <v>0.56000000000000005</v>
      </c>
      <c r="K558">
        <v>11.7</v>
      </c>
      <c r="L558">
        <v>6</v>
      </c>
      <c r="M558" t="str">
        <f t="shared" si="10"/>
        <v>Medium</v>
      </c>
    </row>
    <row r="559" spans="1:13" x14ac:dyDescent="0.35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5</v>
      </c>
      <c r="M559" t="str">
        <f t="shared" si="10"/>
        <v>Medium</v>
      </c>
    </row>
    <row r="560" spans="1:13" x14ac:dyDescent="0.35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>
        <v>1.0002</v>
      </c>
      <c r="I560">
        <v>3.07</v>
      </c>
      <c r="J560">
        <v>0.56000000000000005</v>
      </c>
      <c r="K560">
        <v>11.7</v>
      </c>
      <c r="L560">
        <v>6</v>
      </c>
      <c r="M560" t="str">
        <f t="shared" si="10"/>
        <v>Medium</v>
      </c>
    </row>
    <row r="561" spans="1:13" x14ac:dyDescent="0.35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6</v>
      </c>
      <c r="M561" t="str">
        <f t="shared" si="10"/>
        <v>Medium</v>
      </c>
    </row>
    <row r="562" spans="1:13" x14ac:dyDescent="0.35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5</v>
      </c>
      <c r="M562" t="str">
        <f t="shared" si="10"/>
        <v>Medium</v>
      </c>
    </row>
    <row r="563" spans="1:13" x14ac:dyDescent="0.35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5</v>
      </c>
      <c r="M563" t="str">
        <f t="shared" si="10"/>
        <v>Medium</v>
      </c>
    </row>
    <row r="564" spans="1:13" x14ac:dyDescent="0.35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5</v>
      </c>
      <c r="M564" t="str">
        <f t="shared" si="10"/>
        <v>Medium</v>
      </c>
    </row>
    <row r="565" spans="1:13" x14ac:dyDescent="0.35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6</v>
      </c>
      <c r="M565" t="str">
        <f t="shared" si="10"/>
        <v>Medium</v>
      </c>
    </row>
    <row r="566" spans="1:13" x14ac:dyDescent="0.35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6</v>
      </c>
      <c r="M566" t="str">
        <f t="shared" si="10"/>
        <v>Medium</v>
      </c>
    </row>
    <row r="567" spans="1:13" x14ac:dyDescent="0.35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5</v>
      </c>
      <c r="M567" t="str">
        <f t="shared" si="10"/>
        <v>Medium</v>
      </c>
    </row>
    <row r="568" spans="1:13" x14ac:dyDescent="0.35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6</v>
      </c>
      <c r="M568" t="str">
        <f t="shared" si="10"/>
        <v>Medium</v>
      </c>
    </row>
    <row r="569" spans="1:13" x14ac:dyDescent="0.35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6</v>
      </c>
      <c r="M569" t="str">
        <f t="shared" si="10"/>
        <v>Medium</v>
      </c>
    </row>
    <row r="570" spans="1:13" x14ac:dyDescent="0.35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  <c r="M570" t="str">
        <f t="shared" si="10"/>
        <v>Medium</v>
      </c>
    </row>
    <row r="571" spans="1:13" x14ac:dyDescent="0.35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6</v>
      </c>
      <c r="M571" t="str">
        <f t="shared" si="10"/>
        <v>Medium</v>
      </c>
    </row>
    <row r="572" spans="1:13" x14ac:dyDescent="0.35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>
        <v>6</v>
      </c>
      <c r="M572" t="str">
        <f t="shared" si="10"/>
        <v>Medium</v>
      </c>
    </row>
    <row r="573" spans="1:13" x14ac:dyDescent="0.35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6</v>
      </c>
      <c r="M573" t="str">
        <f t="shared" si="10"/>
        <v>Medium</v>
      </c>
    </row>
    <row r="574" spans="1:13" x14ac:dyDescent="0.35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5</v>
      </c>
      <c r="M574" t="str">
        <f t="shared" si="10"/>
        <v>Medium</v>
      </c>
    </row>
    <row r="575" spans="1:13" x14ac:dyDescent="0.35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4</v>
      </c>
      <c r="M575" t="str">
        <f t="shared" si="10"/>
        <v>Low</v>
      </c>
    </row>
    <row r="576" spans="1:13" x14ac:dyDescent="0.35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6</v>
      </c>
      <c r="M576" t="str">
        <f t="shared" si="10"/>
        <v>Medium</v>
      </c>
    </row>
    <row r="577" spans="1:13" x14ac:dyDescent="0.35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6</v>
      </c>
      <c r="M577" t="str">
        <f t="shared" si="10"/>
        <v>Medium</v>
      </c>
    </row>
    <row r="578" spans="1:13" x14ac:dyDescent="0.35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4</v>
      </c>
      <c r="M578" t="str">
        <f t="shared" si="10"/>
        <v>Low</v>
      </c>
    </row>
    <row r="579" spans="1:13" x14ac:dyDescent="0.35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5</v>
      </c>
      <c r="M579" t="str">
        <f t="shared" ref="M579:M642" si="11">IF(L579&gt;=7,"High",IF(L579&gt;=5,"Medium","Low"))</f>
        <v>Medium</v>
      </c>
    </row>
    <row r="580" spans="1:13" x14ac:dyDescent="0.35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5</v>
      </c>
      <c r="M580" t="str">
        <f t="shared" si="11"/>
        <v>Medium</v>
      </c>
    </row>
    <row r="581" spans="1:13" x14ac:dyDescent="0.35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6</v>
      </c>
      <c r="M581" t="str">
        <f t="shared" si="11"/>
        <v>Medium</v>
      </c>
    </row>
    <row r="582" spans="1:13" x14ac:dyDescent="0.35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>
        <v>5</v>
      </c>
      <c r="M582" t="str">
        <f t="shared" si="11"/>
        <v>Medium</v>
      </c>
    </row>
    <row r="583" spans="1:13" x14ac:dyDescent="0.35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>
        <v>5</v>
      </c>
      <c r="M583" t="str">
        <f t="shared" si="11"/>
        <v>Medium</v>
      </c>
    </row>
    <row r="584" spans="1:13" x14ac:dyDescent="0.35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5</v>
      </c>
      <c r="M584" t="str">
        <f t="shared" si="11"/>
        <v>Medium</v>
      </c>
    </row>
    <row r="585" spans="1:13" x14ac:dyDescent="0.35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7</v>
      </c>
      <c r="M585" t="str">
        <f t="shared" si="11"/>
        <v>High</v>
      </c>
    </row>
    <row r="586" spans="1:13" x14ac:dyDescent="0.35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>
        <v>7</v>
      </c>
      <c r="M586" t="str">
        <f t="shared" si="11"/>
        <v>High</v>
      </c>
    </row>
    <row r="587" spans="1:13" x14ac:dyDescent="0.35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  <c r="M587" t="str">
        <f t="shared" si="11"/>
        <v>Medium</v>
      </c>
    </row>
    <row r="588" spans="1:13" x14ac:dyDescent="0.35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7</v>
      </c>
      <c r="M588" t="str">
        <f t="shared" si="11"/>
        <v>High</v>
      </c>
    </row>
    <row r="589" spans="1:13" x14ac:dyDescent="0.35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5</v>
      </c>
      <c r="M589" t="str">
        <f t="shared" si="11"/>
        <v>Medium</v>
      </c>
    </row>
    <row r="590" spans="1:13" x14ac:dyDescent="0.35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8</v>
      </c>
      <c r="M590" t="str">
        <f t="shared" si="11"/>
        <v>High</v>
      </c>
    </row>
    <row r="591" spans="1:13" x14ac:dyDescent="0.35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7</v>
      </c>
      <c r="M591" t="str">
        <f t="shared" si="11"/>
        <v>High</v>
      </c>
    </row>
    <row r="592" spans="1:13" x14ac:dyDescent="0.35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5</v>
      </c>
      <c r="M592" t="str">
        <f t="shared" si="11"/>
        <v>Medium</v>
      </c>
    </row>
    <row r="593" spans="1:13" x14ac:dyDescent="0.35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6</v>
      </c>
      <c r="M593" t="str">
        <f t="shared" si="11"/>
        <v>Medium</v>
      </c>
    </row>
    <row r="594" spans="1:13" x14ac:dyDescent="0.35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5</v>
      </c>
      <c r="M594" t="str">
        <f t="shared" si="11"/>
        <v>Medium</v>
      </c>
    </row>
    <row r="595" spans="1:13" x14ac:dyDescent="0.35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>
        <v>1.0004</v>
      </c>
      <c r="I595">
        <v>3.29</v>
      </c>
      <c r="J595">
        <v>0.57999999999999996</v>
      </c>
      <c r="K595">
        <v>9</v>
      </c>
      <c r="L595">
        <v>5</v>
      </c>
      <c r="M595" t="str">
        <f t="shared" si="11"/>
        <v>Medium</v>
      </c>
    </row>
    <row r="596" spans="1:13" x14ac:dyDescent="0.35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5</v>
      </c>
      <c r="M596" t="str">
        <f t="shared" si="11"/>
        <v>Medium</v>
      </c>
    </row>
    <row r="597" spans="1:13" x14ac:dyDescent="0.35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5</v>
      </c>
      <c r="M597" t="str">
        <f t="shared" si="11"/>
        <v>Medium</v>
      </c>
    </row>
    <row r="598" spans="1:13" x14ac:dyDescent="0.35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6</v>
      </c>
      <c r="M598" t="str">
        <f t="shared" si="11"/>
        <v>Medium</v>
      </c>
    </row>
    <row r="599" spans="1:13" x14ac:dyDescent="0.35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  <c r="M599" t="str">
        <f t="shared" si="11"/>
        <v>Medium</v>
      </c>
    </row>
    <row r="600" spans="1:13" x14ac:dyDescent="0.35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6</v>
      </c>
      <c r="M600" t="str">
        <f t="shared" si="11"/>
        <v>Medium</v>
      </c>
    </row>
    <row r="601" spans="1:13" x14ac:dyDescent="0.35">
      <c r="A601">
        <v>12.7</v>
      </c>
      <c r="B601">
        <v>0.59</v>
      </c>
      <c r="C601">
        <v>0.45</v>
      </c>
      <c r="D601">
        <v>2.2999999999999998</v>
      </c>
      <c r="E601">
        <v>8.2000000000000003E-2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6</v>
      </c>
      <c r="M601" t="str">
        <f t="shared" si="11"/>
        <v>Medium</v>
      </c>
    </row>
    <row r="602" spans="1:13" x14ac:dyDescent="0.35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4</v>
      </c>
      <c r="M602" t="str">
        <f t="shared" si="11"/>
        <v>Low</v>
      </c>
    </row>
    <row r="603" spans="1:13" x14ac:dyDescent="0.35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>
        <v>1.0005999999999999</v>
      </c>
      <c r="I603">
        <v>3.1</v>
      </c>
      <c r="J603">
        <v>0.56000000000000005</v>
      </c>
      <c r="K603">
        <v>9</v>
      </c>
      <c r="L603">
        <v>6</v>
      </c>
      <c r="M603" t="str">
        <f t="shared" si="11"/>
        <v>Medium</v>
      </c>
    </row>
    <row r="604" spans="1:13" x14ac:dyDescent="0.35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5</v>
      </c>
      <c r="M604" t="str">
        <f t="shared" si="11"/>
        <v>Medium</v>
      </c>
    </row>
    <row r="605" spans="1:13" x14ac:dyDescent="0.35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>
        <v>1.0005999999999999</v>
      </c>
      <c r="I605">
        <v>3.1</v>
      </c>
      <c r="J605">
        <v>0.56000000000000005</v>
      </c>
      <c r="K605">
        <v>9</v>
      </c>
      <c r="L605">
        <v>6</v>
      </c>
      <c r="M605" t="str">
        <f t="shared" si="11"/>
        <v>Medium</v>
      </c>
    </row>
    <row r="606" spans="1:13" x14ac:dyDescent="0.35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6</v>
      </c>
      <c r="M606" t="str">
        <f t="shared" si="11"/>
        <v>Medium</v>
      </c>
    </row>
    <row r="607" spans="1:13" x14ac:dyDescent="0.35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6</v>
      </c>
      <c r="M607" t="str">
        <f t="shared" si="11"/>
        <v>Medium</v>
      </c>
    </row>
    <row r="608" spans="1:13" x14ac:dyDescent="0.35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7</v>
      </c>
      <c r="M608" t="str">
        <f t="shared" si="11"/>
        <v>High</v>
      </c>
    </row>
    <row r="609" spans="1:13" x14ac:dyDescent="0.35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6</v>
      </c>
      <c r="M609" t="str">
        <f t="shared" si="11"/>
        <v>Medium</v>
      </c>
    </row>
    <row r="610" spans="1:13" x14ac:dyDescent="0.35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>
        <v>6</v>
      </c>
      <c r="M610" t="str">
        <f t="shared" si="11"/>
        <v>Medium</v>
      </c>
    </row>
    <row r="611" spans="1:13" x14ac:dyDescent="0.35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6</v>
      </c>
      <c r="M611" t="str">
        <f t="shared" si="11"/>
        <v>Medium</v>
      </c>
    </row>
    <row r="612" spans="1:13" x14ac:dyDescent="0.35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5</v>
      </c>
      <c r="M612" t="str">
        <f t="shared" si="11"/>
        <v>Medium</v>
      </c>
    </row>
    <row r="613" spans="1:13" x14ac:dyDescent="0.35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>
        <v>1.0005999999999999</v>
      </c>
      <c r="I613">
        <v>2.98</v>
      </c>
      <c r="J613">
        <v>0.54</v>
      </c>
      <c r="K613">
        <v>9.4</v>
      </c>
      <c r="L613">
        <v>5</v>
      </c>
      <c r="M613" t="str">
        <f t="shared" si="11"/>
        <v>Medium</v>
      </c>
    </row>
    <row r="614" spans="1:13" x14ac:dyDescent="0.35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6</v>
      </c>
      <c r="M614" t="str">
        <f t="shared" si="11"/>
        <v>Medium</v>
      </c>
    </row>
    <row r="615" spans="1:13" x14ac:dyDescent="0.35">
      <c r="A615">
        <v>8.1999999999999993</v>
      </c>
      <c r="B615">
        <v>0.39</v>
      </c>
      <c r="C615">
        <v>0.38</v>
      </c>
      <c r="D615">
        <v>1.5</v>
      </c>
      <c r="E615">
        <v>5.8000000000000003E-2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5</v>
      </c>
      <c r="M615" t="str">
        <f t="shared" si="11"/>
        <v>Medium</v>
      </c>
    </row>
    <row r="616" spans="1:13" x14ac:dyDescent="0.35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6</v>
      </c>
      <c r="M616" t="str">
        <f t="shared" si="11"/>
        <v>Medium</v>
      </c>
    </row>
    <row r="617" spans="1:13" x14ac:dyDescent="0.35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5</v>
      </c>
      <c r="M617" t="str">
        <f t="shared" si="11"/>
        <v>Medium</v>
      </c>
    </row>
    <row r="618" spans="1:13" x14ac:dyDescent="0.35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5</v>
      </c>
      <c r="M618" t="str">
        <f t="shared" si="11"/>
        <v>Medium</v>
      </c>
    </row>
    <row r="619" spans="1:13" x14ac:dyDescent="0.35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6</v>
      </c>
      <c r="M619" t="str">
        <f t="shared" si="11"/>
        <v>Medium</v>
      </c>
    </row>
    <row r="620" spans="1:13" x14ac:dyDescent="0.35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</v>
      </c>
      <c r="I620">
        <v>3.13</v>
      </c>
      <c r="J620">
        <v>0.7</v>
      </c>
      <c r="K620">
        <v>10.199999999999999</v>
      </c>
      <c r="L620">
        <v>5</v>
      </c>
      <c r="M620" t="str">
        <f t="shared" si="11"/>
        <v>Medium</v>
      </c>
    </row>
    <row r="621" spans="1:13" x14ac:dyDescent="0.35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5</v>
      </c>
      <c r="M621" t="str">
        <f t="shared" si="11"/>
        <v>Medium</v>
      </c>
    </row>
    <row r="622" spans="1:13" x14ac:dyDescent="0.35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5</v>
      </c>
      <c r="M622" t="str">
        <f t="shared" si="11"/>
        <v>Medium</v>
      </c>
    </row>
    <row r="623" spans="1:13" x14ac:dyDescent="0.35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5</v>
      </c>
      <c r="M623" t="str">
        <f t="shared" si="11"/>
        <v>Medium</v>
      </c>
    </row>
    <row r="624" spans="1:13" x14ac:dyDescent="0.35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5</v>
      </c>
      <c r="M624" t="str">
        <f t="shared" si="11"/>
        <v>Medium</v>
      </c>
    </row>
    <row r="625" spans="1:13" x14ac:dyDescent="0.35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6</v>
      </c>
      <c r="M625" t="str">
        <f t="shared" si="11"/>
        <v>Medium</v>
      </c>
    </row>
    <row r="626" spans="1:13" x14ac:dyDescent="0.35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5</v>
      </c>
      <c r="M626" t="str">
        <f t="shared" si="11"/>
        <v>Medium</v>
      </c>
    </row>
    <row r="627" spans="1:13" x14ac:dyDescent="0.35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5</v>
      </c>
      <c r="M627" t="str">
        <f t="shared" si="11"/>
        <v>Medium</v>
      </c>
    </row>
    <row r="628" spans="1:13" x14ac:dyDescent="0.35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5</v>
      </c>
      <c r="M628" t="str">
        <f t="shared" si="11"/>
        <v>Medium</v>
      </c>
    </row>
    <row r="629" spans="1:13" x14ac:dyDescent="0.35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5</v>
      </c>
      <c r="M629" t="str">
        <f t="shared" si="11"/>
        <v>Medium</v>
      </c>
    </row>
    <row r="630" spans="1:13" x14ac:dyDescent="0.35">
      <c r="A630">
        <v>8.6999999999999993</v>
      </c>
      <c r="B630">
        <v>0.54</v>
      </c>
      <c r="C630">
        <v>0.26</v>
      </c>
      <c r="D630">
        <v>2.5</v>
      </c>
      <c r="E630">
        <v>9.7000000000000003E-2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6</v>
      </c>
      <c r="M630" t="str">
        <f t="shared" si="11"/>
        <v>Medium</v>
      </c>
    </row>
    <row r="631" spans="1:13" x14ac:dyDescent="0.35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5</v>
      </c>
      <c r="M631" t="str">
        <f t="shared" si="11"/>
        <v>Medium</v>
      </c>
    </row>
    <row r="632" spans="1:13" x14ac:dyDescent="0.35">
      <c r="A632">
        <v>8.6999999999999993</v>
      </c>
      <c r="B632">
        <v>0.54</v>
      </c>
      <c r="C632">
        <v>0.26</v>
      </c>
      <c r="D632">
        <v>2.5</v>
      </c>
      <c r="E632">
        <v>9.7000000000000003E-2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6</v>
      </c>
      <c r="M632" t="str">
        <f t="shared" si="11"/>
        <v>Medium</v>
      </c>
    </row>
    <row r="633" spans="1:13" x14ac:dyDescent="0.35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5</v>
      </c>
      <c r="M633" t="str">
        <f t="shared" si="11"/>
        <v>Medium</v>
      </c>
    </row>
    <row r="634" spans="1:13" x14ac:dyDescent="0.35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6</v>
      </c>
      <c r="M634" t="str">
        <f t="shared" si="11"/>
        <v>Medium</v>
      </c>
    </row>
    <row r="635" spans="1:13" x14ac:dyDescent="0.35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1.0009999999999999</v>
      </c>
      <c r="I635">
        <v>3.43</v>
      </c>
      <c r="J635">
        <v>0.64</v>
      </c>
      <c r="K635">
        <v>11.3</v>
      </c>
      <c r="L635">
        <v>4</v>
      </c>
      <c r="M635" t="str">
        <f t="shared" si="11"/>
        <v>Low</v>
      </c>
    </row>
    <row r="636" spans="1:13" x14ac:dyDescent="0.35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5</v>
      </c>
      <c r="M636" t="str">
        <f t="shared" si="11"/>
        <v>Medium</v>
      </c>
    </row>
    <row r="637" spans="1:13" x14ac:dyDescent="0.35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5</v>
      </c>
      <c r="M637" t="str">
        <f t="shared" si="11"/>
        <v>Medium</v>
      </c>
    </row>
    <row r="638" spans="1:13" x14ac:dyDescent="0.35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5</v>
      </c>
      <c r="M638" t="str">
        <f t="shared" si="11"/>
        <v>Medium</v>
      </c>
    </row>
    <row r="639" spans="1:13" x14ac:dyDescent="0.35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5</v>
      </c>
      <c r="M639" t="str">
        <f t="shared" si="11"/>
        <v>Medium</v>
      </c>
    </row>
    <row r="640" spans="1:13" x14ac:dyDescent="0.35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7</v>
      </c>
      <c r="M640" t="str">
        <f t="shared" si="11"/>
        <v>High</v>
      </c>
    </row>
    <row r="641" spans="1:13" x14ac:dyDescent="0.35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  <c r="M641" t="str">
        <f t="shared" si="11"/>
        <v>Medium</v>
      </c>
    </row>
    <row r="642" spans="1:13" x14ac:dyDescent="0.35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5</v>
      </c>
      <c r="M642" t="str">
        <f t="shared" si="11"/>
        <v>Medium</v>
      </c>
    </row>
    <row r="643" spans="1:13" x14ac:dyDescent="0.35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5</v>
      </c>
      <c r="M643" t="str">
        <f t="shared" ref="M643:M706" si="12">IF(L643&gt;=7,"High",IF(L643&gt;=5,"Medium","Low"))</f>
        <v>Medium</v>
      </c>
    </row>
    <row r="644" spans="1:13" x14ac:dyDescent="0.35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5</v>
      </c>
      <c r="M644" t="str">
        <f t="shared" si="12"/>
        <v>Medium</v>
      </c>
    </row>
    <row r="645" spans="1:13" x14ac:dyDescent="0.35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5</v>
      </c>
      <c r="M645" t="str">
        <f t="shared" si="12"/>
        <v>Medium</v>
      </c>
    </row>
    <row r="646" spans="1:13" x14ac:dyDescent="0.35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5</v>
      </c>
      <c r="M646" t="str">
        <f t="shared" si="12"/>
        <v>Medium</v>
      </c>
    </row>
    <row r="647" spans="1:13" x14ac:dyDescent="0.35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7</v>
      </c>
      <c r="M647" t="str">
        <f t="shared" si="12"/>
        <v>High</v>
      </c>
    </row>
    <row r="648" spans="1:13" x14ac:dyDescent="0.35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5</v>
      </c>
      <c r="M648" t="str">
        <f t="shared" si="12"/>
        <v>Medium</v>
      </c>
    </row>
    <row r="649" spans="1:13" x14ac:dyDescent="0.35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4</v>
      </c>
      <c r="M649" t="str">
        <f t="shared" si="12"/>
        <v>Low</v>
      </c>
    </row>
    <row r="650" spans="1:13" x14ac:dyDescent="0.35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7</v>
      </c>
      <c r="M650" t="str">
        <f t="shared" si="12"/>
        <v>High</v>
      </c>
    </row>
    <row r="651" spans="1:13" x14ac:dyDescent="0.35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6</v>
      </c>
      <c r="M651" t="str">
        <f t="shared" si="12"/>
        <v>Medium</v>
      </c>
    </row>
    <row r="652" spans="1:13" x14ac:dyDescent="0.35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5</v>
      </c>
      <c r="M652" t="str">
        <f t="shared" si="12"/>
        <v>Medium</v>
      </c>
    </row>
    <row r="653" spans="1:13" x14ac:dyDescent="0.35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1.0009999999999999</v>
      </c>
      <c r="I653">
        <v>3.41</v>
      </c>
      <c r="J653">
        <v>0.67</v>
      </c>
      <c r="K653">
        <v>11.2</v>
      </c>
      <c r="L653">
        <v>5</v>
      </c>
      <c r="M653" t="str">
        <f t="shared" si="12"/>
        <v>Medium</v>
      </c>
    </row>
    <row r="654" spans="1:13" x14ac:dyDescent="0.35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5</v>
      </c>
      <c r="M654" t="str">
        <f t="shared" si="12"/>
        <v>Medium</v>
      </c>
    </row>
    <row r="655" spans="1:13" x14ac:dyDescent="0.35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6</v>
      </c>
      <c r="M655" t="str">
        <f t="shared" si="12"/>
        <v>Medium</v>
      </c>
    </row>
    <row r="656" spans="1:13" x14ac:dyDescent="0.35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5</v>
      </c>
      <c r="M656" t="str">
        <f t="shared" si="12"/>
        <v>Medium</v>
      </c>
    </row>
    <row r="657" spans="1:13" x14ac:dyDescent="0.35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>
        <v>5</v>
      </c>
      <c r="M657" t="str">
        <f t="shared" si="12"/>
        <v>Medium</v>
      </c>
    </row>
    <row r="658" spans="1:13" x14ac:dyDescent="0.35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5</v>
      </c>
      <c r="M658" t="str">
        <f t="shared" si="12"/>
        <v>Medium</v>
      </c>
    </row>
    <row r="659" spans="1:13" x14ac:dyDescent="0.35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  <c r="M659" t="str">
        <f t="shared" si="12"/>
        <v>High</v>
      </c>
    </row>
    <row r="660" spans="1:13" x14ac:dyDescent="0.35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6</v>
      </c>
      <c r="M660" t="str">
        <f t="shared" si="12"/>
        <v>Medium</v>
      </c>
    </row>
    <row r="661" spans="1:13" x14ac:dyDescent="0.35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4</v>
      </c>
      <c r="M661" t="str">
        <f t="shared" si="12"/>
        <v>Low</v>
      </c>
    </row>
    <row r="662" spans="1:13" x14ac:dyDescent="0.35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6</v>
      </c>
      <c r="M662" t="str">
        <f t="shared" si="12"/>
        <v>Medium</v>
      </c>
    </row>
    <row r="663" spans="1:13" x14ac:dyDescent="0.35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5</v>
      </c>
      <c r="M663" t="str">
        <f t="shared" si="12"/>
        <v>Medium</v>
      </c>
    </row>
    <row r="664" spans="1:13" x14ac:dyDescent="0.35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6</v>
      </c>
      <c r="M664" t="str">
        <f t="shared" si="12"/>
        <v>Medium</v>
      </c>
    </row>
    <row r="665" spans="1:13" x14ac:dyDescent="0.35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6</v>
      </c>
      <c r="M665" t="str">
        <f t="shared" si="12"/>
        <v>Medium</v>
      </c>
    </row>
    <row r="666" spans="1:13" x14ac:dyDescent="0.35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5</v>
      </c>
      <c r="M666" t="str">
        <f t="shared" si="12"/>
        <v>Medium</v>
      </c>
    </row>
    <row r="667" spans="1:13" x14ac:dyDescent="0.35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5</v>
      </c>
      <c r="M667" t="str">
        <f t="shared" si="12"/>
        <v>Medium</v>
      </c>
    </row>
    <row r="668" spans="1:13" x14ac:dyDescent="0.35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  <c r="M668" t="str">
        <f t="shared" si="12"/>
        <v>Medium</v>
      </c>
    </row>
    <row r="669" spans="1:13" x14ac:dyDescent="0.35">
      <c r="A669">
        <v>11.3</v>
      </c>
      <c r="B669">
        <v>0.34</v>
      </c>
      <c r="C669">
        <v>0.45</v>
      </c>
      <c r="D669">
        <v>2</v>
      </c>
      <c r="E669">
        <v>8.2000000000000003E-2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6</v>
      </c>
      <c r="M669" t="str">
        <f t="shared" si="12"/>
        <v>Medium</v>
      </c>
    </row>
    <row r="670" spans="1:13" x14ac:dyDescent="0.35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5</v>
      </c>
      <c r="M670" t="str">
        <f t="shared" si="12"/>
        <v>Medium</v>
      </c>
    </row>
    <row r="671" spans="1:13" x14ac:dyDescent="0.35">
      <c r="A671">
        <v>11.3</v>
      </c>
      <c r="B671">
        <v>0.34</v>
      </c>
      <c r="C671">
        <v>0.45</v>
      </c>
      <c r="D671">
        <v>2</v>
      </c>
      <c r="E671">
        <v>8.2000000000000003E-2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6</v>
      </c>
      <c r="M671" t="str">
        <f t="shared" si="12"/>
        <v>Medium</v>
      </c>
    </row>
    <row r="672" spans="1:13" x14ac:dyDescent="0.35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5</v>
      </c>
      <c r="M672" t="str">
        <f t="shared" si="12"/>
        <v>Medium</v>
      </c>
    </row>
    <row r="673" spans="1:13" x14ac:dyDescent="0.35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5</v>
      </c>
      <c r="M673" t="str">
        <f t="shared" si="12"/>
        <v>Medium</v>
      </c>
    </row>
    <row r="674" spans="1:13" x14ac:dyDescent="0.35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  <c r="M674" t="str">
        <f t="shared" si="12"/>
        <v>Medium</v>
      </c>
    </row>
    <row r="675" spans="1:13" x14ac:dyDescent="0.35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5</v>
      </c>
      <c r="M675" t="str">
        <f t="shared" si="12"/>
        <v>Medium</v>
      </c>
    </row>
    <row r="676" spans="1:13" x14ac:dyDescent="0.35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6</v>
      </c>
      <c r="M676" t="str">
        <f t="shared" si="12"/>
        <v>Medium</v>
      </c>
    </row>
    <row r="677" spans="1:13" x14ac:dyDescent="0.35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5</v>
      </c>
      <c r="M677" t="str">
        <f t="shared" si="12"/>
        <v>Medium</v>
      </c>
    </row>
    <row r="678" spans="1:13" x14ac:dyDescent="0.35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6</v>
      </c>
      <c r="M678" t="str">
        <f t="shared" si="12"/>
        <v>Medium</v>
      </c>
    </row>
    <row r="679" spans="1:13" x14ac:dyDescent="0.35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5</v>
      </c>
      <c r="M679" t="str">
        <f t="shared" si="12"/>
        <v>Medium</v>
      </c>
    </row>
    <row r="680" spans="1:13" x14ac:dyDescent="0.35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5</v>
      </c>
      <c r="M680" t="str">
        <f t="shared" si="12"/>
        <v>Medium</v>
      </c>
    </row>
    <row r="681" spans="1:13" x14ac:dyDescent="0.35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5</v>
      </c>
      <c r="M681" t="str">
        <f t="shared" si="12"/>
        <v>Medium</v>
      </c>
    </row>
    <row r="682" spans="1:13" x14ac:dyDescent="0.35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>
        <v>5</v>
      </c>
      <c r="M682" t="str">
        <f t="shared" si="12"/>
        <v>Medium</v>
      </c>
    </row>
    <row r="683" spans="1:13" x14ac:dyDescent="0.35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6</v>
      </c>
      <c r="M683" t="str">
        <f t="shared" si="12"/>
        <v>Medium</v>
      </c>
    </row>
    <row r="684" spans="1:13" x14ac:dyDescent="0.35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5</v>
      </c>
      <c r="M684" t="str">
        <f t="shared" si="12"/>
        <v>Medium</v>
      </c>
    </row>
    <row r="685" spans="1:13" x14ac:dyDescent="0.35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5</v>
      </c>
      <c r="M685" t="str">
        <f t="shared" si="12"/>
        <v>Medium</v>
      </c>
    </row>
    <row r="686" spans="1:13" x14ac:dyDescent="0.35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  <c r="M686" t="str">
        <f t="shared" si="12"/>
        <v>Medium</v>
      </c>
    </row>
    <row r="687" spans="1:13" x14ac:dyDescent="0.35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5</v>
      </c>
      <c r="M687" t="str">
        <f t="shared" si="12"/>
        <v>Medium</v>
      </c>
    </row>
    <row r="688" spans="1:13" x14ac:dyDescent="0.35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  <c r="M688" t="str">
        <f t="shared" si="12"/>
        <v>Medium</v>
      </c>
    </row>
    <row r="689" spans="1:13" x14ac:dyDescent="0.35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5</v>
      </c>
      <c r="M689" t="str">
        <f t="shared" si="12"/>
        <v>Medium</v>
      </c>
    </row>
    <row r="690" spans="1:13" x14ac:dyDescent="0.35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5</v>
      </c>
      <c r="M690" t="str">
        <f t="shared" si="12"/>
        <v>Medium</v>
      </c>
    </row>
    <row r="691" spans="1:13" x14ac:dyDescent="0.35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5</v>
      </c>
      <c r="M691" t="str">
        <f t="shared" si="12"/>
        <v>Medium</v>
      </c>
    </row>
    <row r="692" spans="1:13" x14ac:dyDescent="0.35">
      <c r="A692">
        <v>7.4</v>
      </c>
      <c r="B692">
        <v>1.1850000000000001</v>
      </c>
      <c r="C692">
        <v>0</v>
      </c>
      <c r="D692">
        <v>4.25</v>
      </c>
      <c r="E692">
        <v>9.7000000000000003E-2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3</v>
      </c>
      <c r="M692" t="str">
        <f t="shared" si="12"/>
        <v>Low</v>
      </c>
    </row>
    <row r="693" spans="1:13" x14ac:dyDescent="0.35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5</v>
      </c>
      <c r="M693" t="str">
        <f t="shared" si="12"/>
        <v>Medium</v>
      </c>
    </row>
    <row r="694" spans="1:13" x14ac:dyDescent="0.35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5</v>
      </c>
      <c r="M694" t="str">
        <f t="shared" si="12"/>
        <v>Medium</v>
      </c>
    </row>
    <row r="695" spans="1:13" x14ac:dyDescent="0.35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5</v>
      </c>
      <c r="M695" t="str">
        <f t="shared" si="12"/>
        <v>Medium</v>
      </c>
    </row>
    <row r="696" spans="1:13" x14ac:dyDescent="0.35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5</v>
      </c>
      <c r="M696" t="str">
        <f t="shared" si="12"/>
        <v>Medium</v>
      </c>
    </row>
    <row r="697" spans="1:13" x14ac:dyDescent="0.35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6</v>
      </c>
      <c r="M697" t="str">
        <f t="shared" si="12"/>
        <v>Medium</v>
      </c>
    </row>
    <row r="698" spans="1:13" x14ac:dyDescent="0.35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6</v>
      </c>
      <c r="M698" t="str">
        <f t="shared" si="12"/>
        <v>Medium</v>
      </c>
    </row>
    <row r="699" spans="1:13" x14ac:dyDescent="0.35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6</v>
      </c>
      <c r="M699" t="str">
        <f t="shared" si="12"/>
        <v>Medium</v>
      </c>
    </row>
    <row r="700" spans="1:13" x14ac:dyDescent="0.35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9.6999999999999993</v>
      </c>
      <c r="L700">
        <v>5</v>
      </c>
      <c r="M700" t="str">
        <f t="shared" si="12"/>
        <v>Medium</v>
      </c>
    </row>
    <row r="701" spans="1:13" x14ac:dyDescent="0.35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6</v>
      </c>
      <c r="M701" t="str">
        <f t="shared" si="12"/>
        <v>Medium</v>
      </c>
    </row>
    <row r="702" spans="1:13" x14ac:dyDescent="0.35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6</v>
      </c>
      <c r="M702" t="str">
        <f t="shared" si="12"/>
        <v>Medium</v>
      </c>
    </row>
    <row r="703" spans="1:13" x14ac:dyDescent="0.35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6</v>
      </c>
      <c r="M703" t="str">
        <f t="shared" si="12"/>
        <v>Medium</v>
      </c>
    </row>
    <row r="704" spans="1:13" x14ac:dyDescent="0.35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  <c r="M704" t="str">
        <f t="shared" si="12"/>
        <v>Medium</v>
      </c>
    </row>
    <row r="705" spans="1:13" x14ac:dyDescent="0.35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4</v>
      </c>
      <c r="M705" t="str">
        <f t="shared" si="12"/>
        <v>Low</v>
      </c>
    </row>
    <row r="706" spans="1:13" x14ac:dyDescent="0.35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4</v>
      </c>
      <c r="M706" t="str">
        <f t="shared" si="12"/>
        <v>Low</v>
      </c>
    </row>
    <row r="707" spans="1:13" x14ac:dyDescent="0.35">
      <c r="A707">
        <v>8.4</v>
      </c>
      <c r="B707">
        <v>1.0349999999999999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  <c r="M707" t="str">
        <f t="shared" ref="M707:M770" si="13">IF(L707&gt;=7,"High",IF(L707&gt;=5,"Medium","Low"))</f>
        <v>Medium</v>
      </c>
    </row>
    <row r="708" spans="1:13" x14ac:dyDescent="0.35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5</v>
      </c>
      <c r="M708" t="str">
        <f t="shared" si="13"/>
        <v>Medium</v>
      </c>
    </row>
    <row r="709" spans="1:13" x14ac:dyDescent="0.35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5</v>
      </c>
      <c r="M709" t="str">
        <f t="shared" si="13"/>
        <v>Medium</v>
      </c>
    </row>
    <row r="710" spans="1:13" x14ac:dyDescent="0.35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  <c r="M710" t="str">
        <f t="shared" si="13"/>
        <v>Medium</v>
      </c>
    </row>
    <row r="711" spans="1:13" x14ac:dyDescent="0.35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6</v>
      </c>
      <c r="M711" t="str">
        <f t="shared" si="13"/>
        <v>Medium</v>
      </c>
    </row>
    <row r="712" spans="1:13" x14ac:dyDescent="0.35">
      <c r="A712">
        <v>10.6</v>
      </c>
      <c r="B712">
        <v>1.0249999999999999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5</v>
      </c>
      <c r="M712" t="str">
        <f t="shared" si="13"/>
        <v>Medium</v>
      </c>
    </row>
    <row r="713" spans="1:13" x14ac:dyDescent="0.35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5</v>
      </c>
      <c r="M713" t="str">
        <f t="shared" si="13"/>
        <v>Medium</v>
      </c>
    </row>
    <row r="714" spans="1:13" x14ac:dyDescent="0.35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5</v>
      </c>
      <c r="M714" t="str">
        <f t="shared" si="13"/>
        <v>Medium</v>
      </c>
    </row>
    <row r="715" spans="1:13" x14ac:dyDescent="0.35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5</v>
      </c>
      <c r="M715" t="str">
        <f t="shared" si="13"/>
        <v>Medium</v>
      </c>
    </row>
    <row r="716" spans="1:13" x14ac:dyDescent="0.35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5</v>
      </c>
      <c r="M716" t="str">
        <f t="shared" si="13"/>
        <v>Medium</v>
      </c>
    </row>
    <row r="717" spans="1:13" x14ac:dyDescent="0.35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6</v>
      </c>
      <c r="M717" t="str">
        <f t="shared" si="13"/>
        <v>Medium</v>
      </c>
    </row>
    <row r="718" spans="1:13" x14ac:dyDescent="0.35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5</v>
      </c>
      <c r="M718" t="str">
        <f t="shared" si="13"/>
        <v>Medium</v>
      </c>
    </row>
    <row r="719" spans="1:13" x14ac:dyDescent="0.35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5</v>
      </c>
      <c r="M719" t="str">
        <f t="shared" si="13"/>
        <v>Medium</v>
      </c>
    </row>
    <row r="720" spans="1:13" x14ac:dyDescent="0.35">
      <c r="A720">
        <v>8.4</v>
      </c>
      <c r="B720">
        <v>0.56000000000000005</v>
      </c>
      <c r="C720">
        <v>0.04</v>
      </c>
      <c r="D720">
        <v>2</v>
      </c>
      <c r="E720">
        <v>8.2000000000000003E-2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5</v>
      </c>
      <c r="M720" t="str">
        <f t="shared" si="13"/>
        <v>Medium</v>
      </c>
    </row>
    <row r="721" spans="1:13" x14ac:dyDescent="0.35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5</v>
      </c>
      <c r="M721" t="str">
        <f t="shared" si="13"/>
        <v>Medium</v>
      </c>
    </row>
    <row r="722" spans="1:13" x14ac:dyDescent="0.35">
      <c r="A722">
        <v>8.4</v>
      </c>
      <c r="B722">
        <v>0.56000000000000005</v>
      </c>
      <c r="C722">
        <v>0.04</v>
      </c>
      <c r="D722">
        <v>2</v>
      </c>
      <c r="E722">
        <v>8.2000000000000003E-2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5</v>
      </c>
      <c r="M722" t="str">
        <f t="shared" si="13"/>
        <v>Medium</v>
      </c>
    </row>
    <row r="723" spans="1:13" x14ac:dyDescent="0.35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5</v>
      </c>
      <c r="M723" t="str">
        <f t="shared" si="13"/>
        <v>Medium</v>
      </c>
    </row>
    <row r="724" spans="1:13" x14ac:dyDescent="0.35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5</v>
      </c>
      <c r="M724" t="str">
        <f t="shared" si="13"/>
        <v>Medium</v>
      </c>
    </row>
    <row r="725" spans="1:13" x14ac:dyDescent="0.35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5</v>
      </c>
      <c r="M725" t="str">
        <f t="shared" si="13"/>
        <v>Medium</v>
      </c>
    </row>
    <row r="726" spans="1:13" x14ac:dyDescent="0.35">
      <c r="A726">
        <v>7.5</v>
      </c>
      <c r="B726">
        <v>1.115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4</v>
      </c>
      <c r="M726" t="str">
        <f t="shared" si="13"/>
        <v>Low</v>
      </c>
    </row>
    <row r="727" spans="1:13" x14ac:dyDescent="0.35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5</v>
      </c>
      <c r="M727" t="str">
        <f t="shared" si="13"/>
        <v>Medium</v>
      </c>
    </row>
    <row r="728" spans="1:13" x14ac:dyDescent="0.35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6</v>
      </c>
      <c r="M728" t="str">
        <f t="shared" si="13"/>
        <v>Medium</v>
      </c>
    </row>
    <row r="729" spans="1:13" x14ac:dyDescent="0.35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  <c r="M729" t="str">
        <f t="shared" si="13"/>
        <v>Medium</v>
      </c>
    </row>
    <row r="730" spans="1:13" x14ac:dyDescent="0.35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  <c r="M730" t="str">
        <f t="shared" si="13"/>
        <v>Medium</v>
      </c>
    </row>
    <row r="731" spans="1:13" x14ac:dyDescent="0.35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  <c r="M731" t="str">
        <f t="shared" si="13"/>
        <v>Medium</v>
      </c>
    </row>
    <row r="732" spans="1:13" x14ac:dyDescent="0.35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5</v>
      </c>
      <c r="M732" t="str">
        <f t="shared" si="13"/>
        <v>Medium</v>
      </c>
    </row>
    <row r="733" spans="1:13" x14ac:dyDescent="0.35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5</v>
      </c>
      <c r="M733" t="str">
        <f t="shared" si="13"/>
        <v>Medium</v>
      </c>
    </row>
    <row r="734" spans="1:13" x14ac:dyDescent="0.35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5</v>
      </c>
      <c r="M734" t="str">
        <f t="shared" si="13"/>
        <v>Medium</v>
      </c>
    </row>
    <row r="735" spans="1:13" x14ac:dyDescent="0.35">
      <c r="A735">
        <v>7</v>
      </c>
      <c r="B735">
        <v>0.45</v>
      </c>
      <c r="C735">
        <v>0.34</v>
      </c>
      <c r="D735">
        <v>2.7</v>
      </c>
      <c r="E735">
        <v>8.2000000000000003E-2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  <c r="M735" t="str">
        <f t="shared" si="13"/>
        <v>Medium</v>
      </c>
    </row>
    <row r="736" spans="1:13" x14ac:dyDescent="0.35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5</v>
      </c>
      <c r="M736" t="str">
        <f t="shared" si="13"/>
        <v>Medium</v>
      </c>
    </row>
    <row r="737" spans="1:13" x14ac:dyDescent="0.35">
      <c r="A737">
        <v>7.7</v>
      </c>
      <c r="B737">
        <v>0.96499999999999997</v>
      </c>
      <c r="C737">
        <v>0.1</v>
      </c>
      <c r="D737">
        <v>2.1</v>
      </c>
      <c r="E737">
        <v>0.112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5</v>
      </c>
      <c r="M737" t="str">
        <f t="shared" si="13"/>
        <v>Medium</v>
      </c>
    </row>
    <row r="738" spans="1:13" x14ac:dyDescent="0.35">
      <c r="A738">
        <v>7.7</v>
      </c>
      <c r="B738">
        <v>0.96499999999999997</v>
      </c>
      <c r="C738">
        <v>0.1</v>
      </c>
      <c r="D738">
        <v>2.1</v>
      </c>
      <c r="E738">
        <v>0.112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5</v>
      </c>
      <c r="M738" t="str">
        <f t="shared" si="13"/>
        <v>Medium</v>
      </c>
    </row>
    <row r="739" spans="1:13" x14ac:dyDescent="0.35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9.3000000000000007</v>
      </c>
      <c r="L739">
        <v>6</v>
      </c>
      <c r="M739" t="str">
        <f t="shared" si="13"/>
        <v>Medium</v>
      </c>
    </row>
    <row r="740" spans="1:13" x14ac:dyDescent="0.35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5</v>
      </c>
      <c r="M740" t="str">
        <f t="shared" si="13"/>
        <v>Medium</v>
      </c>
    </row>
    <row r="741" spans="1:13" x14ac:dyDescent="0.35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5</v>
      </c>
      <c r="M741" t="str">
        <f t="shared" si="13"/>
        <v>Medium</v>
      </c>
    </row>
    <row r="742" spans="1:13" x14ac:dyDescent="0.35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6</v>
      </c>
      <c r="M742" t="str">
        <f t="shared" si="13"/>
        <v>Medium</v>
      </c>
    </row>
    <row r="743" spans="1:13" x14ac:dyDescent="0.35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0.99787999999999999</v>
      </c>
      <c r="I743">
        <v>3.21</v>
      </c>
      <c r="J743">
        <v>0.56999999999999995</v>
      </c>
      <c r="K743">
        <v>9.5</v>
      </c>
      <c r="L743">
        <v>5</v>
      </c>
      <c r="M743" t="str">
        <f t="shared" si="13"/>
        <v>Medium</v>
      </c>
    </row>
    <row r="744" spans="1:13" x14ac:dyDescent="0.35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5</v>
      </c>
      <c r="M744" t="str">
        <f t="shared" si="13"/>
        <v>Medium</v>
      </c>
    </row>
    <row r="745" spans="1:13" x14ac:dyDescent="0.35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>
        <v>5</v>
      </c>
      <c r="M745" t="str">
        <f t="shared" si="13"/>
        <v>Medium</v>
      </c>
    </row>
    <row r="746" spans="1:13" x14ac:dyDescent="0.35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5</v>
      </c>
      <c r="M746" t="str">
        <f t="shared" si="13"/>
        <v>Medium</v>
      </c>
    </row>
    <row r="747" spans="1:13" x14ac:dyDescent="0.35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0.99768000000000001</v>
      </c>
      <c r="I747">
        <v>3.52</v>
      </c>
      <c r="J747">
        <v>0.73</v>
      </c>
      <c r="K747">
        <v>9.5</v>
      </c>
      <c r="L747">
        <v>6</v>
      </c>
      <c r="M747" t="str">
        <f t="shared" si="13"/>
        <v>Medium</v>
      </c>
    </row>
    <row r="748" spans="1:13" x14ac:dyDescent="0.35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6</v>
      </c>
      <c r="M748" t="str">
        <f t="shared" si="13"/>
        <v>Medium</v>
      </c>
    </row>
    <row r="749" spans="1:13" x14ac:dyDescent="0.35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5</v>
      </c>
      <c r="M749" t="str">
        <f t="shared" si="13"/>
        <v>Medium</v>
      </c>
    </row>
    <row r="750" spans="1:13" x14ac:dyDescent="0.35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  <c r="M750" t="str">
        <f t="shared" si="13"/>
        <v>Medium</v>
      </c>
    </row>
    <row r="751" spans="1:13" x14ac:dyDescent="0.35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0.99768000000000001</v>
      </c>
      <c r="I751">
        <v>3.52</v>
      </c>
      <c r="J751">
        <v>0.73</v>
      </c>
      <c r="K751">
        <v>9.5</v>
      </c>
      <c r="L751">
        <v>6</v>
      </c>
      <c r="M751" t="str">
        <f t="shared" si="13"/>
        <v>Medium</v>
      </c>
    </row>
    <row r="752" spans="1:13" x14ac:dyDescent="0.35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5</v>
      </c>
      <c r="M752" t="str">
        <f t="shared" si="13"/>
        <v>Medium</v>
      </c>
    </row>
    <row r="753" spans="1:13" x14ac:dyDescent="0.35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5</v>
      </c>
      <c r="M753" t="str">
        <f t="shared" si="13"/>
        <v>Medium</v>
      </c>
    </row>
    <row r="754" spans="1:13" x14ac:dyDescent="0.35">
      <c r="A754">
        <v>7.6</v>
      </c>
      <c r="B754">
        <v>0.54</v>
      </c>
      <c r="C754">
        <v>0.13</v>
      </c>
      <c r="D754">
        <v>2.5</v>
      </c>
      <c r="E754">
        <v>9.7000000000000003E-2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5</v>
      </c>
      <c r="M754" t="str">
        <f t="shared" si="13"/>
        <v>Medium</v>
      </c>
    </row>
    <row r="755" spans="1:13" x14ac:dyDescent="0.35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5</v>
      </c>
      <c r="M755" t="str">
        <f t="shared" si="13"/>
        <v>Medium</v>
      </c>
    </row>
    <row r="756" spans="1:13" x14ac:dyDescent="0.35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  <c r="M756" t="str">
        <f t="shared" si="13"/>
        <v>Medium</v>
      </c>
    </row>
    <row r="757" spans="1:13" x14ac:dyDescent="0.35">
      <c r="A757">
        <v>7.8</v>
      </c>
      <c r="B757">
        <v>0.91</v>
      </c>
      <c r="C757">
        <v>7.0000000000000007E-2</v>
      </c>
      <c r="D757">
        <v>1.9</v>
      </c>
      <c r="E757">
        <v>5.8000000000000003E-2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6</v>
      </c>
      <c r="M757" t="str">
        <f t="shared" si="13"/>
        <v>Medium</v>
      </c>
    </row>
    <row r="758" spans="1:13" x14ac:dyDescent="0.35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0.99487999999999999</v>
      </c>
      <c r="I758">
        <v>3.6</v>
      </c>
      <c r="J758">
        <v>0.46</v>
      </c>
      <c r="K758">
        <v>11.2</v>
      </c>
      <c r="L758">
        <v>6</v>
      </c>
      <c r="M758" t="str">
        <f t="shared" si="13"/>
        <v>Medium</v>
      </c>
    </row>
    <row r="759" spans="1:13" x14ac:dyDescent="0.35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5</v>
      </c>
      <c r="M759" t="str">
        <f t="shared" si="13"/>
        <v>Medium</v>
      </c>
    </row>
    <row r="760" spans="1:13" x14ac:dyDescent="0.35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5</v>
      </c>
      <c r="M760" t="str">
        <f t="shared" si="13"/>
        <v>Medium</v>
      </c>
    </row>
    <row r="761" spans="1:13" x14ac:dyDescent="0.35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5</v>
      </c>
      <c r="M761" t="str">
        <f t="shared" si="13"/>
        <v>Medium</v>
      </c>
    </row>
    <row r="762" spans="1:13" x14ac:dyDescent="0.35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5</v>
      </c>
      <c r="M762" t="str">
        <f t="shared" si="13"/>
        <v>Medium</v>
      </c>
    </row>
    <row r="763" spans="1:13" x14ac:dyDescent="0.35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0.99738000000000004</v>
      </c>
      <c r="I763">
        <v>3.25</v>
      </c>
      <c r="J763">
        <v>0.42</v>
      </c>
      <c r="K763">
        <v>9.6</v>
      </c>
      <c r="L763">
        <v>5</v>
      </c>
      <c r="M763" t="str">
        <f t="shared" si="13"/>
        <v>Medium</v>
      </c>
    </row>
    <row r="764" spans="1:13" x14ac:dyDescent="0.35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6</v>
      </c>
      <c r="M764" t="str">
        <f t="shared" si="13"/>
        <v>Medium</v>
      </c>
    </row>
    <row r="765" spans="1:13" x14ac:dyDescent="0.35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0.99738000000000004</v>
      </c>
      <c r="I765">
        <v>3.25</v>
      </c>
      <c r="J765">
        <v>0.42</v>
      </c>
      <c r="K765">
        <v>9.6</v>
      </c>
      <c r="L765">
        <v>5</v>
      </c>
      <c r="M765" t="str">
        <f t="shared" si="13"/>
        <v>Medium</v>
      </c>
    </row>
    <row r="766" spans="1:13" x14ac:dyDescent="0.35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0.99887999999999999</v>
      </c>
      <c r="I766">
        <v>3.31</v>
      </c>
      <c r="J766">
        <v>0.55000000000000004</v>
      </c>
      <c r="K766">
        <v>9.5</v>
      </c>
      <c r="L766">
        <v>6</v>
      </c>
      <c r="M766" t="str">
        <f t="shared" si="13"/>
        <v>Medium</v>
      </c>
    </row>
    <row r="767" spans="1:13" x14ac:dyDescent="0.35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0.99887999999999999</v>
      </c>
      <c r="I767">
        <v>3.31</v>
      </c>
      <c r="J767">
        <v>0.54</v>
      </c>
      <c r="K767">
        <v>9.5</v>
      </c>
      <c r="L767">
        <v>6</v>
      </c>
      <c r="M767" t="str">
        <f t="shared" si="13"/>
        <v>Medium</v>
      </c>
    </row>
    <row r="768" spans="1:13" x14ac:dyDescent="0.35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0.99738000000000004</v>
      </c>
      <c r="I768">
        <v>3.14</v>
      </c>
      <c r="J768">
        <v>0.54</v>
      </c>
      <c r="K768">
        <v>9.4</v>
      </c>
      <c r="L768">
        <v>5</v>
      </c>
      <c r="M768" t="str">
        <f t="shared" si="13"/>
        <v>Medium</v>
      </c>
    </row>
    <row r="769" spans="1:13" x14ac:dyDescent="0.35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0.99938000000000005</v>
      </c>
      <c r="I769">
        <v>3.45</v>
      </c>
      <c r="J769">
        <v>0.62</v>
      </c>
      <c r="K769">
        <v>9.5</v>
      </c>
      <c r="L769">
        <v>5</v>
      </c>
      <c r="M769" t="str">
        <f t="shared" si="13"/>
        <v>Medium</v>
      </c>
    </row>
    <row r="770" spans="1:13" x14ac:dyDescent="0.35">
      <c r="A770">
        <v>7.1</v>
      </c>
      <c r="B770">
        <v>0.59</v>
      </c>
      <c r="C770">
        <v>0.02</v>
      </c>
      <c r="D770">
        <v>2.2999999999999998</v>
      </c>
      <c r="E770">
        <v>8.2000000000000003E-2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6</v>
      </c>
      <c r="M770" t="str">
        <f t="shared" si="13"/>
        <v>Medium</v>
      </c>
    </row>
    <row r="771" spans="1:13" x14ac:dyDescent="0.35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0.99668000000000001</v>
      </c>
      <c r="I771">
        <v>3.39</v>
      </c>
      <c r="J771">
        <v>0.54</v>
      </c>
      <c r="K771">
        <v>9.6</v>
      </c>
      <c r="L771">
        <v>5</v>
      </c>
      <c r="M771" t="str">
        <f t="shared" ref="M771:M834" si="14">IF(L771&gt;=7,"High",IF(L771&gt;=5,"Medium","Low"))</f>
        <v>Medium</v>
      </c>
    </row>
    <row r="772" spans="1:13" x14ac:dyDescent="0.35">
      <c r="A772">
        <v>7.1</v>
      </c>
      <c r="B772">
        <v>0.59</v>
      </c>
      <c r="C772">
        <v>0.02</v>
      </c>
      <c r="D772">
        <v>2.2999999999999998</v>
      </c>
      <c r="E772">
        <v>8.2000000000000003E-2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6</v>
      </c>
      <c r="M772" t="str">
        <f t="shared" si="14"/>
        <v>Medium</v>
      </c>
    </row>
    <row r="773" spans="1:13" x14ac:dyDescent="0.35">
      <c r="A773">
        <v>9.4</v>
      </c>
      <c r="B773">
        <v>0.68500000000000005</v>
      </c>
      <c r="C773">
        <v>0.26</v>
      </c>
      <c r="D773">
        <v>2.4</v>
      </c>
      <c r="E773">
        <v>8.2000000000000003E-2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5</v>
      </c>
      <c r="M773" t="str">
        <f t="shared" si="14"/>
        <v>Medium</v>
      </c>
    </row>
    <row r="774" spans="1:13" x14ac:dyDescent="0.35">
      <c r="A774">
        <v>9.5</v>
      </c>
      <c r="B774">
        <v>0.56999999999999995</v>
      </c>
      <c r="C774">
        <v>0.27</v>
      </c>
      <c r="D774">
        <v>2.2999999999999998</v>
      </c>
      <c r="E774">
        <v>8.2000000000000003E-2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5</v>
      </c>
      <c r="M774" t="str">
        <f t="shared" si="14"/>
        <v>Medium</v>
      </c>
    </row>
    <row r="775" spans="1:13" x14ac:dyDescent="0.35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6</v>
      </c>
      <c r="M775" t="str">
        <f t="shared" si="14"/>
        <v>Medium</v>
      </c>
    </row>
    <row r="776" spans="1:13" x14ac:dyDescent="0.35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6</v>
      </c>
      <c r="M776" t="str">
        <f t="shared" si="14"/>
        <v>Medium</v>
      </c>
    </row>
    <row r="777" spans="1:13" x14ac:dyDescent="0.35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5</v>
      </c>
      <c r="M777" t="str">
        <f t="shared" si="14"/>
        <v>Medium</v>
      </c>
    </row>
    <row r="778" spans="1:13" x14ac:dyDescent="0.35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5.5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6</v>
      </c>
      <c r="M778" t="str">
        <f t="shared" si="14"/>
        <v>Medium</v>
      </c>
    </row>
    <row r="779" spans="1:13" x14ac:dyDescent="0.35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6</v>
      </c>
      <c r="M779" t="str">
        <f t="shared" si="14"/>
        <v>Medium</v>
      </c>
    </row>
    <row r="780" spans="1:13" x14ac:dyDescent="0.35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0.99787999999999999</v>
      </c>
      <c r="I780">
        <v>3.36</v>
      </c>
      <c r="J780">
        <v>0.61</v>
      </c>
      <c r="K780">
        <v>10.5</v>
      </c>
      <c r="L780">
        <v>5</v>
      </c>
      <c r="M780" t="str">
        <f t="shared" si="14"/>
        <v>Medium</v>
      </c>
    </row>
    <row r="781" spans="1:13" x14ac:dyDescent="0.35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5</v>
      </c>
      <c r="M781" t="str">
        <f t="shared" si="14"/>
        <v>Medium</v>
      </c>
    </row>
    <row r="782" spans="1:13" x14ac:dyDescent="0.35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6</v>
      </c>
      <c r="M782" t="str">
        <f t="shared" si="14"/>
        <v>Medium</v>
      </c>
    </row>
    <row r="783" spans="1:13" x14ac:dyDescent="0.35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5</v>
      </c>
      <c r="M783" t="str">
        <f t="shared" si="14"/>
        <v>Medium</v>
      </c>
    </row>
    <row r="784" spans="1:13" x14ac:dyDescent="0.35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0.99814000000000003</v>
      </c>
      <c r="I784">
        <v>3.36</v>
      </c>
      <c r="J784">
        <v>0.53</v>
      </c>
      <c r="K784">
        <v>10</v>
      </c>
      <c r="L784">
        <v>5</v>
      </c>
      <c r="M784" t="str">
        <f t="shared" si="14"/>
        <v>Medium</v>
      </c>
    </row>
    <row r="785" spans="1:13" x14ac:dyDescent="0.35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5</v>
      </c>
      <c r="M785" t="str">
        <f t="shared" si="14"/>
        <v>Medium</v>
      </c>
    </row>
    <row r="786" spans="1:13" x14ac:dyDescent="0.35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5</v>
      </c>
      <c r="M786" t="str">
        <f t="shared" si="14"/>
        <v>Medium</v>
      </c>
    </row>
    <row r="787" spans="1:13" x14ac:dyDescent="0.35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5</v>
      </c>
      <c r="M787" t="str">
        <f t="shared" si="14"/>
        <v>Medium</v>
      </c>
    </row>
    <row r="788" spans="1:13" x14ac:dyDescent="0.35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5</v>
      </c>
      <c r="M788" t="str">
        <f t="shared" si="14"/>
        <v>Medium</v>
      </c>
    </row>
    <row r="789" spans="1:13" x14ac:dyDescent="0.35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6</v>
      </c>
      <c r="M789" t="str">
        <f t="shared" si="14"/>
        <v>Medium</v>
      </c>
    </row>
    <row r="790" spans="1:13" x14ac:dyDescent="0.35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6</v>
      </c>
      <c r="M790" t="str">
        <f t="shared" si="14"/>
        <v>Medium</v>
      </c>
    </row>
    <row r="791" spans="1:13" x14ac:dyDescent="0.35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5</v>
      </c>
      <c r="M791" t="str">
        <f t="shared" si="14"/>
        <v>Medium</v>
      </c>
    </row>
    <row r="792" spans="1:13" x14ac:dyDescent="0.35">
      <c r="A792">
        <v>7.4</v>
      </c>
      <c r="B792">
        <v>0.37</v>
      </c>
      <c r="C792">
        <v>0.43</v>
      </c>
      <c r="D792">
        <v>2.6</v>
      </c>
      <c r="E792">
        <v>8.2000000000000003E-2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6</v>
      </c>
      <c r="M792" t="str">
        <f t="shared" si="14"/>
        <v>Medium</v>
      </c>
    </row>
    <row r="793" spans="1:13" x14ac:dyDescent="0.35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5</v>
      </c>
      <c r="M793" t="str">
        <f t="shared" si="14"/>
        <v>Medium</v>
      </c>
    </row>
    <row r="794" spans="1:13" x14ac:dyDescent="0.35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6</v>
      </c>
      <c r="M794" t="str">
        <f t="shared" si="14"/>
        <v>Medium</v>
      </c>
    </row>
    <row r="795" spans="1:13" x14ac:dyDescent="0.35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5</v>
      </c>
      <c r="M795" t="str">
        <f t="shared" si="14"/>
        <v>Medium</v>
      </c>
    </row>
    <row r="796" spans="1:13" x14ac:dyDescent="0.35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6</v>
      </c>
      <c r="M796" t="str">
        <f t="shared" si="14"/>
        <v>Medium</v>
      </c>
    </row>
    <row r="797" spans="1:13" x14ac:dyDescent="0.35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5</v>
      </c>
      <c r="M797" t="str">
        <f t="shared" si="14"/>
        <v>Medium</v>
      </c>
    </row>
    <row r="798" spans="1:13" x14ac:dyDescent="0.35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5</v>
      </c>
      <c r="M798" t="str">
        <f t="shared" si="14"/>
        <v>Medium</v>
      </c>
    </row>
    <row r="799" spans="1:13" x14ac:dyDescent="0.35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7</v>
      </c>
      <c r="M799" t="str">
        <f t="shared" si="14"/>
        <v>High</v>
      </c>
    </row>
    <row r="800" spans="1:13" x14ac:dyDescent="0.35">
      <c r="A800">
        <v>9.4</v>
      </c>
      <c r="B800">
        <v>0.5</v>
      </c>
      <c r="C800">
        <v>0.34</v>
      </c>
      <c r="D800">
        <v>3.6</v>
      </c>
      <c r="E800">
        <v>8.2000000000000003E-2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6</v>
      </c>
      <c r="M800" t="str">
        <f t="shared" si="14"/>
        <v>Medium</v>
      </c>
    </row>
    <row r="801" spans="1:13" x14ac:dyDescent="0.35">
      <c r="A801">
        <v>9.4</v>
      </c>
      <c r="B801">
        <v>0.5</v>
      </c>
      <c r="C801">
        <v>0.34</v>
      </c>
      <c r="D801">
        <v>3.6</v>
      </c>
      <c r="E801">
        <v>8.2000000000000003E-2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6</v>
      </c>
      <c r="M801" t="str">
        <f t="shared" si="14"/>
        <v>Medium</v>
      </c>
    </row>
    <row r="802" spans="1:13" x14ac:dyDescent="0.35">
      <c r="A802">
        <v>7.2</v>
      </c>
      <c r="B802">
        <v>0.61</v>
      </c>
      <c r="C802">
        <v>0.08</v>
      </c>
      <c r="D802">
        <v>4</v>
      </c>
      <c r="E802">
        <v>8.2000000000000003E-2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5</v>
      </c>
      <c r="M802" t="str">
        <f t="shared" si="14"/>
        <v>Medium</v>
      </c>
    </row>
    <row r="803" spans="1:13" x14ac:dyDescent="0.35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5</v>
      </c>
      <c r="M803" t="str">
        <f t="shared" si="14"/>
        <v>Medium</v>
      </c>
    </row>
    <row r="804" spans="1:13" x14ac:dyDescent="0.35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7</v>
      </c>
      <c r="M804" t="str">
        <f t="shared" si="14"/>
        <v>High</v>
      </c>
    </row>
    <row r="805" spans="1:13" x14ac:dyDescent="0.35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6</v>
      </c>
      <c r="M805" t="str">
        <f t="shared" si="14"/>
        <v>Medium</v>
      </c>
    </row>
    <row r="806" spans="1:13" x14ac:dyDescent="0.35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6</v>
      </c>
      <c r="M806" t="str">
        <f t="shared" si="14"/>
        <v>Medium</v>
      </c>
    </row>
    <row r="807" spans="1:13" x14ac:dyDescent="0.35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  <c r="M807" t="str">
        <f t="shared" si="14"/>
        <v>High</v>
      </c>
    </row>
    <row r="808" spans="1:13" x14ac:dyDescent="0.35">
      <c r="A808">
        <v>8.4</v>
      </c>
      <c r="B808">
        <v>0.25</v>
      </c>
      <c r="C808">
        <v>0.39</v>
      </c>
      <c r="D808">
        <v>2</v>
      </c>
      <c r="E808">
        <v>4.1000000000000002E-2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7</v>
      </c>
      <c r="M808" t="str">
        <f t="shared" si="14"/>
        <v>High</v>
      </c>
    </row>
    <row r="809" spans="1:13" x14ac:dyDescent="0.35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  <c r="M809" t="str">
        <f t="shared" si="14"/>
        <v>High</v>
      </c>
    </row>
    <row r="810" spans="1:13" x14ac:dyDescent="0.35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5</v>
      </c>
      <c r="M810" t="str">
        <f t="shared" si="14"/>
        <v>Medium</v>
      </c>
    </row>
    <row r="811" spans="1:13" x14ac:dyDescent="0.35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0.99692999999999998</v>
      </c>
      <c r="I811">
        <v>3.22</v>
      </c>
      <c r="J811">
        <v>0.55000000000000004</v>
      </c>
      <c r="K811">
        <v>10.3</v>
      </c>
      <c r="L811">
        <v>6</v>
      </c>
      <c r="M811" t="str">
        <f t="shared" si="14"/>
        <v>Medium</v>
      </c>
    </row>
    <row r="812" spans="1:13" x14ac:dyDescent="0.35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5</v>
      </c>
      <c r="M812" t="str">
        <f t="shared" si="14"/>
        <v>Medium</v>
      </c>
    </row>
    <row r="813" spans="1:13" x14ac:dyDescent="0.35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>
        <v>6</v>
      </c>
      <c r="M813" t="str">
        <f t="shared" si="14"/>
        <v>Medium</v>
      </c>
    </row>
    <row r="814" spans="1:13" x14ac:dyDescent="0.35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5</v>
      </c>
      <c r="M814" t="str">
        <f t="shared" si="14"/>
        <v>Medium</v>
      </c>
    </row>
    <row r="815" spans="1:13" x14ac:dyDescent="0.35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4</v>
      </c>
      <c r="M815" t="str">
        <f t="shared" si="14"/>
        <v>Low</v>
      </c>
    </row>
    <row r="816" spans="1:13" x14ac:dyDescent="0.35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  <c r="M816" t="str">
        <f t="shared" si="14"/>
        <v>Medium</v>
      </c>
    </row>
    <row r="817" spans="1:13" x14ac:dyDescent="0.35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5</v>
      </c>
      <c r="M817" t="str">
        <f t="shared" si="14"/>
        <v>Medium</v>
      </c>
    </row>
    <row r="818" spans="1:13" x14ac:dyDescent="0.35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6</v>
      </c>
      <c r="M818" t="str">
        <f t="shared" si="14"/>
        <v>Medium</v>
      </c>
    </row>
    <row r="819" spans="1:13" x14ac:dyDescent="0.35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6</v>
      </c>
      <c r="M819" t="str">
        <f t="shared" si="14"/>
        <v>Medium</v>
      </c>
    </row>
    <row r="820" spans="1:13" x14ac:dyDescent="0.35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5</v>
      </c>
      <c r="M820" t="str">
        <f t="shared" si="14"/>
        <v>Medium</v>
      </c>
    </row>
    <row r="821" spans="1:13" x14ac:dyDescent="0.35">
      <c r="A821">
        <v>9.1</v>
      </c>
      <c r="B821">
        <v>0.66</v>
      </c>
      <c r="C821">
        <v>0.15</v>
      </c>
      <c r="D821">
        <v>3.2</v>
      </c>
      <c r="E821">
        <v>9.7000000000000003E-2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5</v>
      </c>
      <c r="M821" t="str">
        <f t="shared" si="14"/>
        <v>Medium</v>
      </c>
    </row>
    <row r="822" spans="1:13" x14ac:dyDescent="0.35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5</v>
      </c>
      <c r="M822" t="str">
        <f t="shared" si="14"/>
        <v>Medium</v>
      </c>
    </row>
    <row r="823" spans="1:13" x14ac:dyDescent="0.35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7</v>
      </c>
      <c r="M823" t="str">
        <f t="shared" si="14"/>
        <v>High</v>
      </c>
    </row>
    <row r="824" spans="1:13" x14ac:dyDescent="0.35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5</v>
      </c>
      <c r="M824" t="str">
        <f t="shared" si="14"/>
        <v>Medium</v>
      </c>
    </row>
    <row r="825" spans="1:13" x14ac:dyDescent="0.35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5</v>
      </c>
      <c r="M825" t="str">
        <f t="shared" si="14"/>
        <v>Medium</v>
      </c>
    </row>
    <row r="826" spans="1:13" x14ac:dyDescent="0.35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5</v>
      </c>
      <c r="M826" t="str">
        <f t="shared" si="14"/>
        <v>Medium</v>
      </c>
    </row>
    <row r="827" spans="1:13" x14ac:dyDescent="0.35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5</v>
      </c>
      <c r="M827" t="str">
        <f t="shared" si="14"/>
        <v>Medium</v>
      </c>
    </row>
    <row r="828" spans="1:13" x14ac:dyDescent="0.35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7</v>
      </c>
      <c r="M828" t="str">
        <f t="shared" si="14"/>
        <v>High</v>
      </c>
    </row>
    <row r="829" spans="1:13" x14ac:dyDescent="0.35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5</v>
      </c>
      <c r="M829" t="str">
        <f t="shared" si="14"/>
        <v>Medium</v>
      </c>
    </row>
    <row r="830" spans="1:13" x14ac:dyDescent="0.35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  <c r="M830" t="str">
        <f t="shared" si="14"/>
        <v>High</v>
      </c>
    </row>
    <row r="831" spans="1:13" x14ac:dyDescent="0.35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6</v>
      </c>
      <c r="M831" t="str">
        <f t="shared" si="14"/>
        <v>Medium</v>
      </c>
    </row>
    <row r="832" spans="1:13" x14ac:dyDescent="0.35">
      <c r="A832">
        <v>7.5</v>
      </c>
      <c r="B832">
        <v>0.68500000000000005</v>
      </c>
      <c r="C832">
        <v>7.0000000000000007E-2</v>
      </c>
      <c r="D832">
        <v>2.5</v>
      </c>
      <c r="E832">
        <v>5.8000000000000003E-2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4</v>
      </c>
      <c r="M832" t="str">
        <f t="shared" si="14"/>
        <v>Low</v>
      </c>
    </row>
    <row r="833" spans="1:13" x14ac:dyDescent="0.35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6</v>
      </c>
      <c r="M833" t="str">
        <f t="shared" si="14"/>
        <v>Medium</v>
      </c>
    </row>
    <row r="834" spans="1:13" x14ac:dyDescent="0.35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3</v>
      </c>
      <c r="M834" t="str">
        <f t="shared" si="14"/>
        <v>Low</v>
      </c>
    </row>
    <row r="835" spans="1:13" x14ac:dyDescent="0.35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4</v>
      </c>
      <c r="M835" t="str">
        <f t="shared" ref="M835:M898" si="15">IF(L835&gt;=7,"High",IF(L835&gt;=5,"Medium","Low"))</f>
        <v>Low</v>
      </c>
    </row>
    <row r="836" spans="1:13" x14ac:dyDescent="0.35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0.99694000000000005</v>
      </c>
      <c r="I836">
        <v>3.32</v>
      </c>
      <c r="J836">
        <v>0.47</v>
      </c>
      <c r="K836">
        <v>9.4</v>
      </c>
      <c r="L836">
        <v>5</v>
      </c>
      <c r="M836" t="str">
        <f t="shared" si="15"/>
        <v>Medium</v>
      </c>
    </row>
    <row r="837" spans="1:13" x14ac:dyDescent="0.35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5</v>
      </c>
      <c r="M837" t="str">
        <f t="shared" si="15"/>
        <v>Medium</v>
      </c>
    </row>
    <row r="838" spans="1:13" x14ac:dyDescent="0.35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7</v>
      </c>
      <c r="M838" t="str">
        <f t="shared" si="15"/>
        <v>High</v>
      </c>
    </row>
    <row r="839" spans="1:13" x14ac:dyDescent="0.35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7</v>
      </c>
      <c r="M839" t="str">
        <f t="shared" si="15"/>
        <v>High</v>
      </c>
    </row>
    <row r="840" spans="1:13" x14ac:dyDescent="0.35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7</v>
      </c>
      <c r="M840" t="str">
        <f t="shared" si="15"/>
        <v>High</v>
      </c>
    </row>
    <row r="841" spans="1:13" x14ac:dyDescent="0.35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5</v>
      </c>
      <c r="M841" t="str">
        <f t="shared" si="15"/>
        <v>Medium</v>
      </c>
    </row>
    <row r="842" spans="1:13" x14ac:dyDescent="0.35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7</v>
      </c>
      <c r="M842" t="str">
        <f t="shared" si="15"/>
        <v>High</v>
      </c>
    </row>
    <row r="843" spans="1:13" x14ac:dyDescent="0.35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5</v>
      </c>
      <c r="M843" t="str">
        <f t="shared" si="15"/>
        <v>Medium</v>
      </c>
    </row>
    <row r="844" spans="1:13" x14ac:dyDescent="0.35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6</v>
      </c>
      <c r="M844" t="str">
        <f t="shared" si="15"/>
        <v>Medium</v>
      </c>
    </row>
    <row r="845" spans="1:13" x14ac:dyDescent="0.35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5</v>
      </c>
      <c r="M845" t="str">
        <f t="shared" si="15"/>
        <v>Medium</v>
      </c>
    </row>
    <row r="846" spans="1:13" x14ac:dyDescent="0.35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6</v>
      </c>
      <c r="M846" t="str">
        <f t="shared" si="15"/>
        <v>Medium</v>
      </c>
    </row>
    <row r="847" spans="1:13" x14ac:dyDescent="0.35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0.99689000000000005</v>
      </c>
      <c r="I847">
        <v>3.59</v>
      </c>
      <c r="J847">
        <v>0.66</v>
      </c>
      <c r="K847">
        <v>9.8000000000000007</v>
      </c>
      <c r="L847">
        <v>5</v>
      </c>
      <c r="M847" t="str">
        <f t="shared" si="15"/>
        <v>Medium</v>
      </c>
    </row>
    <row r="848" spans="1:13" x14ac:dyDescent="0.35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0.99689000000000005</v>
      </c>
      <c r="I848">
        <v>3.59</v>
      </c>
      <c r="J848">
        <v>0.66</v>
      </c>
      <c r="K848">
        <v>9.8000000000000007</v>
      </c>
      <c r="L848">
        <v>5</v>
      </c>
      <c r="M848" t="str">
        <f t="shared" si="15"/>
        <v>Medium</v>
      </c>
    </row>
    <row r="849" spans="1:13" x14ac:dyDescent="0.35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6</v>
      </c>
      <c r="M849" t="str">
        <f t="shared" si="15"/>
        <v>Medium</v>
      </c>
    </row>
    <row r="850" spans="1:13" x14ac:dyDescent="0.35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0.99689000000000005</v>
      </c>
      <c r="I850">
        <v>3.59</v>
      </c>
      <c r="J850">
        <v>0.66</v>
      </c>
      <c r="K850">
        <v>9.8000000000000007</v>
      </c>
      <c r="L850">
        <v>5</v>
      </c>
      <c r="M850" t="str">
        <f t="shared" si="15"/>
        <v>Medium</v>
      </c>
    </row>
    <row r="851" spans="1:13" x14ac:dyDescent="0.35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0.99689000000000005</v>
      </c>
      <c r="I851">
        <v>3.58</v>
      </c>
      <c r="J851">
        <v>0.66</v>
      </c>
      <c r="K851">
        <v>9.8000000000000007</v>
      </c>
      <c r="L851">
        <v>5</v>
      </c>
      <c r="M851" t="str">
        <f t="shared" si="15"/>
        <v>Medium</v>
      </c>
    </row>
    <row r="852" spans="1:13" x14ac:dyDescent="0.35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5</v>
      </c>
      <c r="M852" t="str">
        <f t="shared" si="15"/>
        <v>Medium</v>
      </c>
    </row>
    <row r="853" spans="1:13" x14ac:dyDescent="0.35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5</v>
      </c>
      <c r="M853" t="str">
        <f t="shared" si="15"/>
        <v>Medium</v>
      </c>
    </row>
    <row r="854" spans="1:13" x14ac:dyDescent="0.35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5</v>
      </c>
      <c r="M854" t="str">
        <f t="shared" si="15"/>
        <v>Medium</v>
      </c>
    </row>
    <row r="855" spans="1:13" x14ac:dyDescent="0.35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6</v>
      </c>
      <c r="M855" t="str">
        <f t="shared" si="15"/>
        <v>Medium</v>
      </c>
    </row>
    <row r="856" spans="1:13" x14ac:dyDescent="0.35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6</v>
      </c>
      <c r="M856" t="str">
        <f t="shared" si="15"/>
        <v>Medium</v>
      </c>
    </row>
    <row r="857" spans="1:13" x14ac:dyDescent="0.35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0.99538000000000004</v>
      </c>
      <c r="I857">
        <v>3.51</v>
      </c>
      <c r="J857">
        <v>0.71</v>
      </c>
      <c r="K857">
        <v>11.7</v>
      </c>
      <c r="L857">
        <v>7</v>
      </c>
      <c r="M857" t="str">
        <f t="shared" si="15"/>
        <v>High</v>
      </c>
    </row>
    <row r="858" spans="1:13" x14ac:dyDescent="0.35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6</v>
      </c>
      <c r="M858" t="str">
        <f t="shared" si="15"/>
        <v>Medium</v>
      </c>
    </row>
    <row r="859" spans="1:13" x14ac:dyDescent="0.35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0.99594000000000005</v>
      </c>
      <c r="I859">
        <v>3.4</v>
      </c>
      <c r="J859">
        <v>0.78</v>
      </c>
      <c r="K859">
        <v>11.3</v>
      </c>
      <c r="L859">
        <v>7</v>
      </c>
      <c r="M859" t="str">
        <f t="shared" si="15"/>
        <v>High</v>
      </c>
    </row>
    <row r="860" spans="1:13" x14ac:dyDescent="0.35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7</v>
      </c>
      <c r="M860" t="str">
        <f t="shared" si="15"/>
        <v>High</v>
      </c>
    </row>
    <row r="861" spans="1:13" x14ac:dyDescent="0.35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0.99438000000000004</v>
      </c>
      <c r="I861">
        <v>3.4</v>
      </c>
      <c r="J861">
        <v>0.82</v>
      </c>
      <c r="K861">
        <v>11.2</v>
      </c>
      <c r="L861">
        <v>6</v>
      </c>
      <c r="M861" t="str">
        <f t="shared" si="15"/>
        <v>Medium</v>
      </c>
    </row>
    <row r="862" spans="1:13" x14ac:dyDescent="0.35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5</v>
      </c>
      <c r="M862" t="str">
        <f t="shared" si="15"/>
        <v>Medium</v>
      </c>
    </row>
    <row r="863" spans="1:13" x14ac:dyDescent="0.35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6</v>
      </c>
      <c r="M863" t="str">
        <f t="shared" si="15"/>
        <v>Medium</v>
      </c>
    </row>
    <row r="864" spans="1:13" x14ac:dyDescent="0.35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0.99628000000000005</v>
      </c>
      <c r="I864">
        <v>3.24</v>
      </c>
      <c r="J864">
        <v>0.44</v>
      </c>
      <c r="K864">
        <v>10.4</v>
      </c>
      <c r="L864">
        <v>5</v>
      </c>
      <c r="M864" t="str">
        <f t="shared" si="15"/>
        <v>Medium</v>
      </c>
    </row>
    <row r="865" spans="1:13" x14ac:dyDescent="0.35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5</v>
      </c>
      <c r="M865" t="str">
        <f t="shared" si="15"/>
        <v>Medium</v>
      </c>
    </row>
    <row r="866" spans="1:13" x14ac:dyDescent="0.35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5</v>
      </c>
      <c r="M866" t="str">
        <f t="shared" si="15"/>
        <v>Medium</v>
      </c>
    </row>
    <row r="867" spans="1:13" x14ac:dyDescent="0.35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0.99748000000000003</v>
      </c>
      <c r="I867">
        <v>3.51</v>
      </c>
      <c r="J867">
        <v>0.54</v>
      </c>
      <c r="K867">
        <v>9.6999999999999993</v>
      </c>
      <c r="L867">
        <v>5</v>
      </c>
      <c r="M867" t="str">
        <f t="shared" si="15"/>
        <v>Medium</v>
      </c>
    </row>
    <row r="868" spans="1:13" x14ac:dyDescent="0.35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0.99438000000000004</v>
      </c>
      <c r="I868">
        <v>3.41</v>
      </c>
      <c r="J868">
        <v>0.83</v>
      </c>
      <c r="K868">
        <v>11.3</v>
      </c>
      <c r="L868">
        <v>6</v>
      </c>
      <c r="M868" t="str">
        <f t="shared" si="15"/>
        <v>Medium</v>
      </c>
    </row>
    <row r="869" spans="1:13" x14ac:dyDescent="0.35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0.99438000000000004</v>
      </c>
      <c r="I869">
        <v>3.4</v>
      </c>
      <c r="J869">
        <v>0.84</v>
      </c>
      <c r="K869">
        <v>11.2</v>
      </c>
      <c r="L869">
        <v>6</v>
      </c>
      <c r="M869" t="str">
        <f t="shared" si="15"/>
        <v>Medium</v>
      </c>
    </row>
    <row r="870" spans="1:13" x14ac:dyDescent="0.35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0.99438000000000004</v>
      </c>
      <c r="I870">
        <v>3.4</v>
      </c>
      <c r="J870">
        <v>0.82</v>
      </c>
      <c r="K870">
        <v>11.2</v>
      </c>
      <c r="L870">
        <v>6</v>
      </c>
      <c r="M870" t="str">
        <f t="shared" si="15"/>
        <v>Medium</v>
      </c>
    </row>
    <row r="871" spans="1:13" x14ac:dyDescent="0.35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0.99578</v>
      </c>
      <c r="I871">
        <v>3.44</v>
      </c>
      <c r="J871">
        <v>0.64</v>
      </c>
      <c r="K871">
        <v>10.9</v>
      </c>
      <c r="L871">
        <v>6</v>
      </c>
      <c r="M871" t="str">
        <f t="shared" si="15"/>
        <v>Medium</v>
      </c>
    </row>
    <row r="872" spans="1:13" x14ac:dyDescent="0.35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6</v>
      </c>
      <c r="M872" t="str">
        <f t="shared" si="15"/>
        <v>Medium</v>
      </c>
    </row>
    <row r="873" spans="1:13" x14ac:dyDescent="0.35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5</v>
      </c>
      <c r="M873" t="str">
        <f t="shared" si="15"/>
        <v>Medium</v>
      </c>
    </row>
    <row r="874" spans="1:13" x14ac:dyDescent="0.35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4</v>
      </c>
      <c r="M874" t="str">
        <f t="shared" si="15"/>
        <v>Low</v>
      </c>
    </row>
    <row r="875" spans="1:13" x14ac:dyDescent="0.35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7</v>
      </c>
      <c r="M875" t="str">
        <f t="shared" si="15"/>
        <v>High</v>
      </c>
    </row>
    <row r="876" spans="1:13" x14ac:dyDescent="0.35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7</v>
      </c>
      <c r="M876" t="str">
        <f t="shared" si="15"/>
        <v>High</v>
      </c>
    </row>
    <row r="877" spans="1:13" x14ac:dyDescent="0.35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0.99614000000000003</v>
      </c>
      <c r="I877">
        <v>3.31</v>
      </c>
      <c r="J877">
        <v>0.79</v>
      </c>
      <c r="K877">
        <v>11.8</v>
      </c>
      <c r="L877">
        <v>7</v>
      </c>
      <c r="M877" t="str">
        <f t="shared" si="15"/>
        <v>High</v>
      </c>
    </row>
    <row r="878" spans="1:13" x14ac:dyDescent="0.35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4</v>
      </c>
      <c r="M878" t="str">
        <f t="shared" si="15"/>
        <v>Low</v>
      </c>
    </row>
    <row r="879" spans="1:13" x14ac:dyDescent="0.35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6</v>
      </c>
      <c r="M879" t="str">
        <f t="shared" si="15"/>
        <v>Medium</v>
      </c>
    </row>
    <row r="880" spans="1:13" x14ac:dyDescent="0.35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6</v>
      </c>
      <c r="M880" t="str">
        <f t="shared" si="15"/>
        <v>Medium</v>
      </c>
    </row>
    <row r="881" spans="1:13" x14ac:dyDescent="0.35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5</v>
      </c>
      <c r="M881" t="str">
        <f t="shared" si="15"/>
        <v>Medium</v>
      </c>
    </row>
    <row r="882" spans="1:13" x14ac:dyDescent="0.35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5</v>
      </c>
      <c r="M882" t="str">
        <f t="shared" si="15"/>
        <v>Medium</v>
      </c>
    </row>
    <row r="883" spans="1:13" x14ac:dyDescent="0.35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0.99533000000000005</v>
      </c>
      <c r="I883">
        <v>3.48</v>
      </c>
      <c r="J883">
        <v>0.65</v>
      </c>
      <c r="K883">
        <v>11.4</v>
      </c>
      <c r="L883">
        <v>6</v>
      </c>
      <c r="M883" t="str">
        <f t="shared" si="15"/>
        <v>Medium</v>
      </c>
    </row>
    <row r="884" spans="1:13" x14ac:dyDescent="0.35">
      <c r="A884">
        <v>8.4</v>
      </c>
      <c r="B884">
        <v>0.31</v>
      </c>
      <c r="C884">
        <v>0.28999999999999998</v>
      </c>
      <c r="D884">
        <v>3.1</v>
      </c>
      <c r="E884">
        <v>0.19400000000000001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6</v>
      </c>
      <c r="M884" t="str">
        <f t="shared" si="15"/>
        <v>Medium</v>
      </c>
    </row>
    <row r="885" spans="1:13" x14ac:dyDescent="0.35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5</v>
      </c>
      <c r="M885" t="str">
        <f t="shared" si="15"/>
        <v>Medium</v>
      </c>
    </row>
    <row r="886" spans="1:13" x14ac:dyDescent="0.35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6</v>
      </c>
      <c r="M886" t="str">
        <f t="shared" si="15"/>
        <v>Medium</v>
      </c>
    </row>
    <row r="887" spans="1:13" x14ac:dyDescent="0.35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5</v>
      </c>
      <c r="M887" t="str">
        <f t="shared" si="15"/>
        <v>Medium</v>
      </c>
    </row>
    <row r="888" spans="1:13" x14ac:dyDescent="0.35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6</v>
      </c>
      <c r="M888" t="str">
        <f t="shared" si="15"/>
        <v>Medium</v>
      </c>
    </row>
    <row r="889" spans="1:13" x14ac:dyDescent="0.35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7</v>
      </c>
      <c r="M889" t="str">
        <f t="shared" si="15"/>
        <v>High</v>
      </c>
    </row>
    <row r="890" spans="1:13" x14ac:dyDescent="0.35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6</v>
      </c>
      <c r="M890" t="str">
        <f t="shared" si="15"/>
        <v>Medium</v>
      </c>
    </row>
    <row r="891" spans="1:13" x14ac:dyDescent="0.35">
      <c r="A891">
        <v>10.7</v>
      </c>
      <c r="B891">
        <v>0.9</v>
      </c>
      <c r="C891">
        <v>0.34</v>
      </c>
      <c r="D891">
        <v>6.6</v>
      </c>
      <c r="E891">
        <v>0.112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9.3000000000000007</v>
      </c>
      <c r="L891">
        <v>5</v>
      </c>
      <c r="M891" t="str">
        <f t="shared" si="15"/>
        <v>Medium</v>
      </c>
    </row>
    <row r="892" spans="1:13" x14ac:dyDescent="0.35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5</v>
      </c>
      <c r="M892" t="str">
        <f t="shared" si="15"/>
        <v>Medium</v>
      </c>
    </row>
    <row r="893" spans="1:13" x14ac:dyDescent="0.35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0.99743000000000004</v>
      </c>
      <c r="I893">
        <v>3.53</v>
      </c>
      <c r="J893">
        <v>0.56999999999999995</v>
      </c>
      <c r="K893">
        <v>9.6999999999999993</v>
      </c>
      <c r="L893">
        <v>5</v>
      </c>
      <c r="M893" t="str">
        <f t="shared" si="15"/>
        <v>Medium</v>
      </c>
    </row>
    <row r="894" spans="1:13" x14ac:dyDescent="0.35">
      <c r="A894">
        <v>10.1</v>
      </c>
      <c r="B894">
        <v>0.45</v>
      </c>
      <c r="C894">
        <v>0.23</v>
      </c>
      <c r="D894">
        <v>1.9</v>
      </c>
      <c r="E894">
        <v>8.2000000000000003E-2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6</v>
      </c>
      <c r="M894" t="str">
        <f t="shared" si="15"/>
        <v>Medium</v>
      </c>
    </row>
    <row r="895" spans="1:13" x14ac:dyDescent="0.35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0.99743000000000004</v>
      </c>
      <c r="I895">
        <v>3.53</v>
      </c>
      <c r="J895">
        <v>0.56999999999999995</v>
      </c>
      <c r="K895">
        <v>9.6999999999999993</v>
      </c>
      <c r="L895">
        <v>5</v>
      </c>
      <c r="M895" t="str">
        <f t="shared" si="15"/>
        <v>Medium</v>
      </c>
    </row>
    <row r="896" spans="1:13" x14ac:dyDescent="0.35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6</v>
      </c>
      <c r="M896" t="str">
        <f t="shared" si="15"/>
        <v>Medium</v>
      </c>
    </row>
    <row r="897" spans="1:13" x14ac:dyDescent="0.35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6</v>
      </c>
      <c r="M897" t="str">
        <f t="shared" si="15"/>
        <v>Medium</v>
      </c>
    </row>
    <row r="898" spans="1:13" x14ac:dyDescent="0.35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7</v>
      </c>
      <c r="M898" t="str">
        <f t="shared" si="15"/>
        <v>High</v>
      </c>
    </row>
    <row r="899" spans="1:13" x14ac:dyDescent="0.35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6</v>
      </c>
      <c r="M899" t="str">
        <f t="shared" ref="M899:M962" si="16">IF(L899&gt;=7,"High",IF(L899&gt;=5,"Medium","Low"))</f>
        <v>Medium</v>
      </c>
    </row>
    <row r="900" spans="1:13" x14ac:dyDescent="0.35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7</v>
      </c>
      <c r="M900" t="str">
        <f t="shared" si="16"/>
        <v>High</v>
      </c>
    </row>
    <row r="901" spans="1:13" x14ac:dyDescent="0.35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3</v>
      </c>
      <c r="M901" t="str">
        <f t="shared" si="16"/>
        <v>Low</v>
      </c>
    </row>
    <row r="902" spans="1:13" x14ac:dyDescent="0.35">
      <c r="A902">
        <v>8.9</v>
      </c>
      <c r="B902">
        <v>0.31</v>
      </c>
      <c r="C902">
        <v>0.36</v>
      </c>
      <c r="D902">
        <v>2.6</v>
      </c>
      <c r="E902">
        <v>5.6000000000000001E-2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5</v>
      </c>
      <c r="M902" t="str">
        <f t="shared" si="16"/>
        <v>Medium</v>
      </c>
    </row>
    <row r="903" spans="1:13" x14ac:dyDescent="0.35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7</v>
      </c>
      <c r="M903" t="str">
        <f t="shared" si="16"/>
        <v>High</v>
      </c>
    </row>
    <row r="904" spans="1:13" x14ac:dyDescent="0.35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7</v>
      </c>
      <c r="M904" t="str">
        <f t="shared" si="16"/>
        <v>High</v>
      </c>
    </row>
    <row r="905" spans="1:13" x14ac:dyDescent="0.35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7</v>
      </c>
      <c r="M905" t="str">
        <f t="shared" si="16"/>
        <v>High</v>
      </c>
    </row>
    <row r="906" spans="1:13" x14ac:dyDescent="0.35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7</v>
      </c>
      <c r="M906" t="str">
        <f t="shared" si="16"/>
        <v>High</v>
      </c>
    </row>
    <row r="907" spans="1:13" x14ac:dyDescent="0.35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  <c r="M907" t="str">
        <f t="shared" si="16"/>
        <v>Medium</v>
      </c>
    </row>
    <row r="908" spans="1:13" x14ac:dyDescent="0.35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5</v>
      </c>
      <c r="M908" t="str">
        <f t="shared" si="16"/>
        <v>Medium</v>
      </c>
    </row>
    <row r="909" spans="1:13" x14ac:dyDescent="0.35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6</v>
      </c>
      <c r="M909" t="str">
        <f t="shared" si="16"/>
        <v>Medium</v>
      </c>
    </row>
    <row r="910" spans="1:13" x14ac:dyDescent="0.35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0.99528000000000005</v>
      </c>
      <c r="I910">
        <v>3.43</v>
      </c>
      <c r="J910">
        <v>0.59</v>
      </c>
      <c r="K910">
        <v>10.8</v>
      </c>
      <c r="L910">
        <v>6</v>
      </c>
      <c r="M910" t="str">
        <f t="shared" si="16"/>
        <v>Medium</v>
      </c>
    </row>
    <row r="911" spans="1:13" x14ac:dyDescent="0.35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6</v>
      </c>
      <c r="M911" t="str">
        <f t="shared" si="16"/>
        <v>Medium</v>
      </c>
    </row>
    <row r="912" spans="1:13" x14ac:dyDescent="0.35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6</v>
      </c>
      <c r="M912" t="str">
        <f t="shared" si="16"/>
        <v>Medium</v>
      </c>
    </row>
    <row r="913" spans="1:13" x14ac:dyDescent="0.35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6</v>
      </c>
      <c r="M913" t="str">
        <f t="shared" si="16"/>
        <v>Medium</v>
      </c>
    </row>
    <row r="914" spans="1:13" x14ac:dyDescent="0.35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6</v>
      </c>
      <c r="M914" t="str">
        <f t="shared" si="16"/>
        <v>Medium</v>
      </c>
    </row>
    <row r="915" spans="1:13" x14ac:dyDescent="0.35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  <c r="M915" t="str">
        <f t="shared" si="16"/>
        <v>High</v>
      </c>
    </row>
    <row r="916" spans="1:13" x14ac:dyDescent="0.35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6</v>
      </c>
      <c r="M916" t="str">
        <f t="shared" si="16"/>
        <v>Medium</v>
      </c>
    </row>
    <row r="917" spans="1:13" x14ac:dyDescent="0.35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  <c r="M917" t="str">
        <f t="shared" si="16"/>
        <v>Medium</v>
      </c>
    </row>
    <row r="918" spans="1:13" x14ac:dyDescent="0.35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  <c r="M918" t="str">
        <f t="shared" si="16"/>
        <v>Medium</v>
      </c>
    </row>
    <row r="919" spans="1:13" x14ac:dyDescent="0.35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6</v>
      </c>
      <c r="M919" t="str">
        <f t="shared" si="16"/>
        <v>Medium</v>
      </c>
    </row>
    <row r="920" spans="1:13" x14ac:dyDescent="0.35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6</v>
      </c>
      <c r="M920" t="str">
        <f t="shared" si="16"/>
        <v>Medium</v>
      </c>
    </row>
    <row r="921" spans="1:13" x14ac:dyDescent="0.35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0.99504000000000004</v>
      </c>
      <c r="I921">
        <v>3.38</v>
      </c>
      <c r="J921">
        <v>0.89</v>
      </c>
      <c r="K921">
        <v>11.8</v>
      </c>
      <c r="L921">
        <v>6</v>
      </c>
      <c r="M921" t="str">
        <f t="shared" si="16"/>
        <v>Medium</v>
      </c>
    </row>
    <row r="922" spans="1:13" x14ac:dyDescent="0.35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5</v>
      </c>
      <c r="M922" t="str">
        <f t="shared" si="16"/>
        <v>Medium</v>
      </c>
    </row>
    <row r="923" spans="1:13" x14ac:dyDescent="0.35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6</v>
      </c>
      <c r="M923" t="str">
        <f t="shared" si="16"/>
        <v>Medium</v>
      </c>
    </row>
    <row r="924" spans="1:13" x14ac:dyDescent="0.35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0.99504000000000004</v>
      </c>
      <c r="I924">
        <v>3.38</v>
      </c>
      <c r="J924">
        <v>0.89</v>
      </c>
      <c r="K924">
        <v>11.8</v>
      </c>
      <c r="L924">
        <v>6</v>
      </c>
      <c r="M924" t="str">
        <f t="shared" si="16"/>
        <v>Medium</v>
      </c>
    </row>
    <row r="925" spans="1:13" x14ac:dyDescent="0.35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6</v>
      </c>
      <c r="M925" t="str">
        <f t="shared" si="16"/>
        <v>Medium</v>
      </c>
    </row>
    <row r="926" spans="1:13" x14ac:dyDescent="0.35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5</v>
      </c>
      <c r="M926" t="str">
        <f t="shared" si="16"/>
        <v>Medium</v>
      </c>
    </row>
    <row r="927" spans="1:13" x14ac:dyDescent="0.35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0.99604000000000004</v>
      </c>
      <c r="I927">
        <v>3.47</v>
      </c>
      <c r="J927">
        <v>0.87</v>
      </c>
      <c r="K927">
        <v>11</v>
      </c>
      <c r="L927">
        <v>7</v>
      </c>
      <c r="M927" t="str">
        <f t="shared" si="16"/>
        <v>High</v>
      </c>
    </row>
    <row r="928" spans="1:13" x14ac:dyDescent="0.35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6</v>
      </c>
      <c r="M928" t="str">
        <f t="shared" si="16"/>
        <v>Medium</v>
      </c>
    </row>
    <row r="929" spans="1:13" x14ac:dyDescent="0.35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4</v>
      </c>
      <c r="M929" t="str">
        <f t="shared" si="16"/>
        <v>Low</v>
      </c>
    </row>
    <row r="930" spans="1:13" x14ac:dyDescent="0.35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5</v>
      </c>
      <c r="M930" t="str">
        <f t="shared" si="16"/>
        <v>Medium</v>
      </c>
    </row>
    <row r="931" spans="1:13" x14ac:dyDescent="0.35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0.99468000000000001</v>
      </c>
      <c r="I931">
        <v>3.3</v>
      </c>
      <c r="J931">
        <v>0.73</v>
      </c>
      <c r="K931">
        <v>12</v>
      </c>
      <c r="L931">
        <v>7</v>
      </c>
      <c r="M931" t="str">
        <f t="shared" si="16"/>
        <v>High</v>
      </c>
    </row>
    <row r="932" spans="1:13" x14ac:dyDescent="0.35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5</v>
      </c>
      <c r="M932" t="str">
        <f t="shared" si="16"/>
        <v>Medium</v>
      </c>
    </row>
    <row r="933" spans="1:13" x14ac:dyDescent="0.35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0.99748000000000003</v>
      </c>
      <c r="I933">
        <v>3.48</v>
      </c>
      <c r="J933">
        <v>0.65</v>
      </c>
      <c r="K933">
        <v>9.8000000000000007</v>
      </c>
      <c r="L933">
        <v>5</v>
      </c>
      <c r="M933" t="str">
        <f t="shared" si="16"/>
        <v>Medium</v>
      </c>
    </row>
    <row r="934" spans="1:13" x14ac:dyDescent="0.35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6</v>
      </c>
      <c r="M934" t="str">
        <f t="shared" si="16"/>
        <v>Medium</v>
      </c>
    </row>
    <row r="935" spans="1:13" x14ac:dyDescent="0.35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0.99748000000000003</v>
      </c>
      <c r="I935">
        <v>3.48</v>
      </c>
      <c r="J935">
        <v>0.65</v>
      </c>
      <c r="K935">
        <v>9.8000000000000007</v>
      </c>
      <c r="L935">
        <v>5</v>
      </c>
      <c r="M935" t="str">
        <f t="shared" si="16"/>
        <v>Medium</v>
      </c>
    </row>
    <row r="936" spans="1:13" x14ac:dyDescent="0.35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5</v>
      </c>
      <c r="M936" t="str">
        <f t="shared" si="16"/>
        <v>Medium</v>
      </c>
    </row>
    <row r="937" spans="1:13" x14ac:dyDescent="0.35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0.99543000000000004</v>
      </c>
      <c r="I937">
        <v>3.39</v>
      </c>
      <c r="J937">
        <v>0.72</v>
      </c>
      <c r="K937">
        <v>11.8</v>
      </c>
      <c r="L937">
        <v>6</v>
      </c>
      <c r="M937" t="str">
        <f t="shared" si="16"/>
        <v>Medium</v>
      </c>
    </row>
    <row r="938" spans="1:13" x14ac:dyDescent="0.35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0.99543000000000004</v>
      </c>
      <c r="I938">
        <v>3.39</v>
      </c>
      <c r="J938">
        <v>0.72</v>
      </c>
      <c r="K938">
        <v>11.8</v>
      </c>
      <c r="L938">
        <v>6</v>
      </c>
      <c r="M938" t="str">
        <f t="shared" si="16"/>
        <v>Medium</v>
      </c>
    </row>
    <row r="939" spans="1:13" x14ac:dyDescent="0.35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4</v>
      </c>
      <c r="M939" t="str">
        <f t="shared" si="16"/>
        <v>Low</v>
      </c>
    </row>
    <row r="940" spans="1:13" x14ac:dyDescent="0.35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  <c r="M940" t="str">
        <f t="shared" si="16"/>
        <v>High</v>
      </c>
    </row>
    <row r="941" spans="1:13" x14ac:dyDescent="0.35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5</v>
      </c>
      <c r="M941" t="str">
        <f t="shared" si="16"/>
        <v>Medium</v>
      </c>
    </row>
    <row r="942" spans="1:13" x14ac:dyDescent="0.35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0.99509000000000003</v>
      </c>
      <c r="I942">
        <v>3.36</v>
      </c>
      <c r="J942">
        <v>0.76</v>
      </c>
      <c r="K942">
        <v>12.4</v>
      </c>
      <c r="L942">
        <v>7</v>
      </c>
      <c r="M942" t="str">
        <f t="shared" si="16"/>
        <v>High</v>
      </c>
    </row>
    <row r="943" spans="1:13" x14ac:dyDescent="0.35">
      <c r="A943">
        <v>9.9</v>
      </c>
      <c r="B943">
        <v>0.27</v>
      </c>
      <c r="C943">
        <v>0.49</v>
      </c>
      <c r="D943">
        <v>5</v>
      </c>
      <c r="E943">
        <v>8.2000000000000003E-2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7</v>
      </c>
      <c r="M943" t="str">
        <f t="shared" si="16"/>
        <v>High</v>
      </c>
    </row>
    <row r="944" spans="1:13" x14ac:dyDescent="0.35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7</v>
      </c>
      <c r="M944" t="str">
        <f t="shared" si="16"/>
        <v>High</v>
      </c>
    </row>
    <row r="945" spans="1:13" x14ac:dyDescent="0.35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7</v>
      </c>
      <c r="M945" t="str">
        <f t="shared" si="16"/>
        <v>High</v>
      </c>
    </row>
    <row r="946" spans="1:13" x14ac:dyDescent="0.35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7</v>
      </c>
      <c r="M946" t="str">
        <f t="shared" si="16"/>
        <v>High</v>
      </c>
    </row>
    <row r="947" spans="1:13" x14ac:dyDescent="0.35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7</v>
      </c>
      <c r="M947" t="str">
        <f t="shared" si="16"/>
        <v>High</v>
      </c>
    </row>
    <row r="948" spans="1:13" x14ac:dyDescent="0.35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7</v>
      </c>
      <c r="M948" t="str">
        <f t="shared" si="16"/>
        <v>High</v>
      </c>
    </row>
    <row r="949" spans="1:13" x14ac:dyDescent="0.35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7</v>
      </c>
      <c r="M949" t="str">
        <f t="shared" si="16"/>
        <v>High</v>
      </c>
    </row>
    <row r="950" spans="1:13" x14ac:dyDescent="0.35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7</v>
      </c>
      <c r="M950" t="str">
        <f t="shared" si="16"/>
        <v>High</v>
      </c>
    </row>
    <row r="951" spans="1:13" x14ac:dyDescent="0.35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7</v>
      </c>
      <c r="M951" t="str">
        <f t="shared" si="16"/>
        <v>High</v>
      </c>
    </row>
    <row r="952" spans="1:13" x14ac:dyDescent="0.35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7</v>
      </c>
      <c r="M952" t="str">
        <f t="shared" si="16"/>
        <v>High</v>
      </c>
    </row>
    <row r="953" spans="1:13" x14ac:dyDescent="0.35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7</v>
      </c>
      <c r="M953" t="str">
        <f t="shared" si="16"/>
        <v>High</v>
      </c>
    </row>
    <row r="954" spans="1:13" x14ac:dyDescent="0.35">
      <c r="A954">
        <v>8.1999999999999993</v>
      </c>
      <c r="B954">
        <v>0.31</v>
      </c>
      <c r="C954">
        <v>0.4</v>
      </c>
      <c r="D954">
        <v>2.2000000000000002</v>
      </c>
      <c r="E954">
        <v>5.8000000000000003E-2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7</v>
      </c>
      <c r="M954" t="str">
        <f t="shared" si="16"/>
        <v>High</v>
      </c>
    </row>
    <row r="955" spans="1:13" x14ac:dyDescent="0.35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0.99458000000000002</v>
      </c>
      <c r="I955">
        <v>3.2</v>
      </c>
      <c r="J955">
        <v>0.69</v>
      </c>
      <c r="K955">
        <v>12.1</v>
      </c>
      <c r="L955">
        <v>7</v>
      </c>
      <c r="M955" t="str">
        <f t="shared" si="16"/>
        <v>High</v>
      </c>
    </row>
    <row r="956" spans="1:13" x14ac:dyDescent="0.35">
      <c r="A956">
        <v>7.6</v>
      </c>
      <c r="B956">
        <v>0.43</v>
      </c>
      <c r="C956">
        <v>0.4</v>
      </c>
      <c r="D956">
        <v>2.7</v>
      </c>
      <c r="E956">
        <v>8.2000000000000003E-2</v>
      </c>
      <c r="F956">
        <v>6</v>
      </c>
      <c r="G956">
        <v>11</v>
      </c>
      <c r="H956">
        <v>0.99538000000000004</v>
      </c>
      <c r="I956">
        <v>3.44</v>
      </c>
      <c r="J956">
        <v>0.54</v>
      </c>
      <c r="K956">
        <v>12.2</v>
      </c>
      <c r="L956">
        <v>6</v>
      </c>
      <c r="M956" t="str">
        <f t="shared" si="16"/>
        <v>Medium</v>
      </c>
    </row>
    <row r="957" spans="1:13" x14ac:dyDescent="0.35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0.99648000000000003</v>
      </c>
      <c r="I957">
        <v>3.36</v>
      </c>
      <c r="J957">
        <v>0.67</v>
      </c>
      <c r="K957">
        <v>10.4</v>
      </c>
      <c r="L957">
        <v>5</v>
      </c>
      <c r="M957" t="str">
        <f t="shared" si="16"/>
        <v>Medium</v>
      </c>
    </row>
    <row r="958" spans="1:13" x14ac:dyDescent="0.35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0.99568000000000001</v>
      </c>
      <c r="I958">
        <v>3.31</v>
      </c>
      <c r="J958">
        <v>0.62</v>
      </c>
      <c r="K958">
        <v>11.3</v>
      </c>
      <c r="L958">
        <v>6</v>
      </c>
      <c r="M958" t="str">
        <f t="shared" si="16"/>
        <v>Medium</v>
      </c>
    </row>
    <row r="959" spans="1:13" x14ac:dyDescent="0.35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6</v>
      </c>
      <c r="M959" t="str">
        <f t="shared" si="16"/>
        <v>Medium</v>
      </c>
    </row>
    <row r="960" spans="1:13" x14ac:dyDescent="0.35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7</v>
      </c>
      <c r="M960" t="str">
        <f t="shared" si="16"/>
        <v>High</v>
      </c>
    </row>
    <row r="961" spans="1:13" x14ac:dyDescent="0.35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5</v>
      </c>
      <c r="M961" t="str">
        <f t="shared" si="16"/>
        <v>Medium</v>
      </c>
    </row>
    <row r="962" spans="1:13" x14ac:dyDescent="0.35">
      <c r="A962">
        <v>8.5</v>
      </c>
      <c r="B962">
        <v>0.47</v>
      </c>
      <c r="C962">
        <v>0.27</v>
      </c>
      <c r="D962">
        <v>1.9</v>
      </c>
      <c r="E962">
        <v>5.8000000000000003E-2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6</v>
      </c>
      <c r="M962" t="str">
        <f t="shared" si="16"/>
        <v>Medium</v>
      </c>
    </row>
    <row r="963" spans="1:13" x14ac:dyDescent="0.35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5</v>
      </c>
      <c r="M963" t="str">
        <f t="shared" ref="M963:M1026" si="17">IF(L963&gt;=7,"High",IF(L963&gt;=5,"Medium","Low"))</f>
        <v>Medium</v>
      </c>
    </row>
    <row r="964" spans="1:13" x14ac:dyDescent="0.35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5</v>
      </c>
      <c r="M964" t="str">
        <f t="shared" si="17"/>
        <v>Medium</v>
      </c>
    </row>
    <row r="965" spans="1:13" x14ac:dyDescent="0.35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6</v>
      </c>
      <c r="M965" t="str">
        <f t="shared" si="17"/>
        <v>Medium</v>
      </c>
    </row>
    <row r="966" spans="1:13" x14ac:dyDescent="0.35">
      <c r="A966">
        <v>8.5</v>
      </c>
      <c r="B966">
        <v>0.47</v>
      </c>
      <c r="C966">
        <v>0.27</v>
      </c>
      <c r="D966">
        <v>1.9</v>
      </c>
      <c r="E966">
        <v>5.8000000000000003E-2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6</v>
      </c>
      <c r="M966" t="str">
        <f t="shared" si="17"/>
        <v>Medium</v>
      </c>
    </row>
    <row r="967" spans="1:13" x14ac:dyDescent="0.35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6</v>
      </c>
      <c r="M967" t="str">
        <f t="shared" si="17"/>
        <v>Medium</v>
      </c>
    </row>
    <row r="968" spans="1:13" x14ac:dyDescent="0.35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0.99604000000000004</v>
      </c>
      <c r="I968">
        <v>3.13</v>
      </c>
      <c r="J968">
        <v>0.57999999999999996</v>
      </c>
      <c r="K968">
        <v>11.9</v>
      </c>
      <c r="L968">
        <v>7</v>
      </c>
      <c r="M968" t="str">
        <f t="shared" si="17"/>
        <v>High</v>
      </c>
    </row>
    <row r="969" spans="1:13" x14ac:dyDescent="0.35">
      <c r="A969">
        <v>8.5</v>
      </c>
      <c r="B969">
        <v>0.66</v>
      </c>
      <c r="C969">
        <v>0.2</v>
      </c>
      <c r="D969">
        <v>2.1</v>
      </c>
      <c r="E969">
        <v>9.7000000000000003E-2</v>
      </c>
      <c r="F969">
        <v>23</v>
      </c>
      <c r="G969">
        <v>113</v>
      </c>
      <c r="H969">
        <v>0.99733000000000005</v>
      </c>
      <c r="I969">
        <v>3.13</v>
      </c>
      <c r="J969">
        <v>0.48</v>
      </c>
      <c r="K969">
        <v>9.1999999999999993</v>
      </c>
      <c r="L969">
        <v>5</v>
      </c>
      <c r="M969" t="str">
        <f t="shared" si="17"/>
        <v>Medium</v>
      </c>
    </row>
    <row r="970" spans="1:13" x14ac:dyDescent="0.35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6</v>
      </c>
      <c r="M970" t="str">
        <f t="shared" si="17"/>
        <v>Medium</v>
      </c>
    </row>
    <row r="971" spans="1:13" x14ac:dyDescent="0.35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5</v>
      </c>
      <c r="M971" t="str">
        <f t="shared" si="17"/>
        <v>Medium</v>
      </c>
    </row>
    <row r="972" spans="1:13" x14ac:dyDescent="0.35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6</v>
      </c>
      <c r="M972" t="str">
        <f t="shared" si="17"/>
        <v>Medium</v>
      </c>
    </row>
    <row r="973" spans="1:13" x14ac:dyDescent="0.35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6</v>
      </c>
      <c r="M973" t="str">
        <f t="shared" si="17"/>
        <v>Medium</v>
      </c>
    </row>
    <row r="974" spans="1:13" x14ac:dyDescent="0.35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0.99643000000000004</v>
      </c>
      <c r="I974">
        <v>3.22</v>
      </c>
      <c r="J974">
        <v>0.65</v>
      </c>
      <c r="K974">
        <v>11.6</v>
      </c>
      <c r="L974">
        <v>7</v>
      </c>
      <c r="M974" t="str">
        <f t="shared" si="17"/>
        <v>High</v>
      </c>
    </row>
    <row r="975" spans="1:13" x14ac:dyDescent="0.35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5</v>
      </c>
      <c r="M975" t="str">
        <f t="shared" si="17"/>
        <v>Medium</v>
      </c>
    </row>
    <row r="976" spans="1:13" x14ac:dyDescent="0.35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0.99658000000000002</v>
      </c>
      <c r="I976">
        <v>3.3</v>
      </c>
      <c r="J976">
        <v>0.62</v>
      </c>
      <c r="K976">
        <v>12.1</v>
      </c>
      <c r="L976">
        <v>7</v>
      </c>
      <c r="M976" t="str">
        <f t="shared" si="17"/>
        <v>High</v>
      </c>
    </row>
    <row r="977" spans="1:13" x14ac:dyDescent="0.35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  <c r="M977" t="str">
        <f t="shared" si="17"/>
        <v>Medium</v>
      </c>
    </row>
    <row r="978" spans="1:13" x14ac:dyDescent="0.35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  <c r="M978" t="str">
        <f t="shared" si="17"/>
        <v>Medium</v>
      </c>
    </row>
    <row r="979" spans="1:13" x14ac:dyDescent="0.35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5</v>
      </c>
      <c r="M979" t="str">
        <f t="shared" si="17"/>
        <v>Medium</v>
      </c>
    </row>
    <row r="980" spans="1:13" x14ac:dyDescent="0.35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7</v>
      </c>
      <c r="M980" t="str">
        <f t="shared" si="17"/>
        <v>High</v>
      </c>
    </row>
    <row r="981" spans="1:13" x14ac:dyDescent="0.35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5</v>
      </c>
      <c r="M981" t="str">
        <f t="shared" si="17"/>
        <v>Medium</v>
      </c>
    </row>
    <row r="982" spans="1:13" x14ac:dyDescent="0.35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6</v>
      </c>
      <c r="M982" t="str">
        <f t="shared" si="17"/>
        <v>Medium</v>
      </c>
    </row>
    <row r="983" spans="1:13" x14ac:dyDescent="0.35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5</v>
      </c>
      <c r="M983" t="str">
        <f t="shared" si="17"/>
        <v>Medium</v>
      </c>
    </row>
    <row r="984" spans="1:13" x14ac:dyDescent="0.35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6</v>
      </c>
      <c r="M984" t="str">
        <f t="shared" si="17"/>
        <v>Medium</v>
      </c>
    </row>
    <row r="985" spans="1:13" x14ac:dyDescent="0.35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6</v>
      </c>
      <c r="M985" t="str">
        <f t="shared" si="17"/>
        <v>Medium</v>
      </c>
    </row>
    <row r="986" spans="1:13" x14ac:dyDescent="0.35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5</v>
      </c>
      <c r="M986" t="str">
        <f t="shared" si="17"/>
        <v>Medium</v>
      </c>
    </row>
    <row r="987" spans="1:13" x14ac:dyDescent="0.35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6</v>
      </c>
      <c r="M987" t="str">
        <f t="shared" si="17"/>
        <v>Medium</v>
      </c>
    </row>
    <row r="988" spans="1:13" x14ac:dyDescent="0.35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7</v>
      </c>
      <c r="M988" t="str">
        <f t="shared" si="17"/>
        <v>High</v>
      </c>
    </row>
    <row r="989" spans="1:13" x14ac:dyDescent="0.35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0.99692999999999998</v>
      </c>
      <c r="I989">
        <v>3.44</v>
      </c>
      <c r="J989">
        <v>0.5</v>
      </c>
      <c r="K989">
        <v>9.4</v>
      </c>
      <c r="L989">
        <v>5</v>
      </c>
      <c r="M989" t="str">
        <f t="shared" si="17"/>
        <v>Medium</v>
      </c>
    </row>
    <row r="990" spans="1:13" x14ac:dyDescent="0.35">
      <c r="A990">
        <v>7.7</v>
      </c>
      <c r="B990">
        <v>0.39</v>
      </c>
      <c r="C990">
        <v>0.12</v>
      </c>
      <c r="D990">
        <v>1.7</v>
      </c>
      <c r="E990">
        <v>9.7000000000000003E-2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5</v>
      </c>
      <c r="M990" t="str">
        <f t="shared" si="17"/>
        <v>Medium</v>
      </c>
    </row>
    <row r="991" spans="1:13" x14ac:dyDescent="0.35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  <c r="M991" t="str">
        <f t="shared" si="17"/>
        <v>Medium</v>
      </c>
    </row>
    <row r="992" spans="1:13" x14ac:dyDescent="0.35">
      <c r="A992">
        <v>7.7</v>
      </c>
      <c r="B992">
        <v>0.39</v>
      </c>
      <c r="C992">
        <v>0.12</v>
      </c>
      <c r="D992">
        <v>1.7</v>
      </c>
      <c r="E992">
        <v>9.7000000000000003E-2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5</v>
      </c>
      <c r="M992" t="str">
        <f t="shared" si="17"/>
        <v>Medium</v>
      </c>
    </row>
    <row r="993" spans="1:13" x14ac:dyDescent="0.35">
      <c r="A993">
        <v>7.1</v>
      </c>
      <c r="B993">
        <v>0.34</v>
      </c>
      <c r="C993">
        <v>0.28000000000000003</v>
      </c>
      <c r="D993">
        <v>2</v>
      </c>
      <c r="E993">
        <v>8.2000000000000003E-2</v>
      </c>
      <c r="F993">
        <v>31</v>
      </c>
      <c r="G993">
        <v>68</v>
      </c>
      <c r="H993">
        <v>0.99694000000000005</v>
      </c>
      <c r="I993">
        <v>3.45</v>
      </c>
      <c r="J993">
        <v>0.48</v>
      </c>
      <c r="K993">
        <v>9.4</v>
      </c>
      <c r="L993">
        <v>5</v>
      </c>
      <c r="M993" t="str">
        <f t="shared" si="17"/>
        <v>Medium</v>
      </c>
    </row>
    <row r="994" spans="1:13" x14ac:dyDescent="0.35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6</v>
      </c>
      <c r="M994" t="str">
        <f t="shared" si="17"/>
        <v>Medium</v>
      </c>
    </row>
    <row r="995" spans="1:13" x14ac:dyDescent="0.35">
      <c r="A995">
        <v>7.1</v>
      </c>
      <c r="B995">
        <v>0.34</v>
      </c>
      <c r="C995">
        <v>0.28000000000000003</v>
      </c>
      <c r="D995">
        <v>2</v>
      </c>
      <c r="E995">
        <v>8.2000000000000003E-2</v>
      </c>
      <c r="F995">
        <v>31</v>
      </c>
      <c r="G995">
        <v>68</v>
      </c>
      <c r="H995">
        <v>0.99694000000000005</v>
      </c>
      <c r="I995">
        <v>3.45</v>
      </c>
      <c r="J995">
        <v>0.48</v>
      </c>
      <c r="K995">
        <v>9.4</v>
      </c>
      <c r="L995">
        <v>5</v>
      </c>
      <c r="M995" t="str">
        <f t="shared" si="17"/>
        <v>Medium</v>
      </c>
    </row>
    <row r="996" spans="1:13" x14ac:dyDescent="0.35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5</v>
      </c>
      <c r="M996" t="str">
        <f t="shared" si="17"/>
        <v>Medium</v>
      </c>
    </row>
    <row r="997" spans="1:13" x14ac:dyDescent="0.35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6</v>
      </c>
      <c r="M997" t="str">
        <f t="shared" si="17"/>
        <v>Medium</v>
      </c>
    </row>
    <row r="998" spans="1:13" x14ac:dyDescent="0.35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0.99378</v>
      </c>
      <c r="I998">
        <v>3.71</v>
      </c>
      <c r="J998">
        <v>0.63</v>
      </c>
      <c r="K998">
        <v>12.8</v>
      </c>
      <c r="L998">
        <v>7</v>
      </c>
      <c r="M998" t="str">
        <f t="shared" si="17"/>
        <v>High</v>
      </c>
    </row>
    <row r="999" spans="1:13" x14ac:dyDescent="0.35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0.99378</v>
      </c>
      <c r="I999">
        <v>3.71</v>
      </c>
      <c r="J999">
        <v>0.63</v>
      </c>
      <c r="K999">
        <v>12.8</v>
      </c>
      <c r="L999">
        <v>7</v>
      </c>
      <c r="M999" t="str">
        <f t="shared" si="17"/>
        <v>High</v>
      </c>
    </row>
    <row r="1000" spans="1:13" x14ac:dyDescent="0.35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6</v>
      </c>
      <c r="M1000" t="str">
        <f t="shared" si="17"/>
        <v>Medium</v>
      </c>
    </row>
    <row r="1001" spans="1:13" x14ac:dyDescent="0.35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6</v>
      </c>
      <c r="M1001" t="str">
        <f t="shared" si="17"/>
        <v>Medium</v>
      </c>
    </row>
    <row r="1002" spans="1:13" x14ac:dyDescent="0.35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  <c r="M1002" t="str">
        <f t="shared" si="17"/>
        <v>High</v>
      </c>
    </row>
    <row r="1003" spans="1:13" x14ac:dyDescent="0.35">
      <c r="A1003">
        <v>9.9</v>
      </c>
      <c r="B1003">
        <v>0.35</v>
      </c>
      <c r="C1003">
        <v>0.38</v>
      </c>
      <c r="D1003">
        <v>1.5</v>
      </c>
      <c r="E1003">
        <v>5.8000000000000003E-2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7</v>
      </c>
      <c r="M1003" t="str">
        <f t="shared" si="17"/>
        <v>High</v>
      </c>
    </row>
    <row r="1004" spans="1:13" x14ac:dyDescent="0.35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7</v>
      </c>
      <c r="M1004" t="str">
        <f t="shared" si="17"/>
        <v>High</v>
      </c>
    </row>
    <row r="1005" spans="1:13" x14ac:dyDescent="0.35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7</v>
      </c>
      <c r="M1005" t="str">
        <f t="shared" si="17"/>
        <v>High</v>
      </c>
    </row>
    <row r="1006" spans="1:13" x14ac:dyDescent="0.35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5</v>
      </c>
      <c r="M1006" t="str">
        <f t="shared" si="17"/>
        <v>Medium</v>
      </c>
    </row>
    <row r="1007" spans="1:13" x14ac:dyDescent="0.35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7</v>
      </c>
      <c r="M1007" t="str">
        <f t="shared" si="17"/>
        <v>High</v>
      </c>
    </row>
    <row r="1008" spans="1:13" x14ac:dyDescent="0.35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7</v>
      </c>
      <c r="M1008" t="str">
        <f t="shared" si="17"/>
        <v>High</v>
      </c>
    </row>
    <row r="1009" spans="1:13" x14ac:dyDescent="0.35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7</v>
      </c>
      <c r="M1009" t="str">
        <f t="shared" si="17"/>
        <v>High</v>
      </c>
    </row>
    <row r="1010" spans="1:13" x14ac:dyDescent="0.35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7</v>
      </c>
      <c r="M1010" t="str">
        <f t="shared" si="17"/>
        <v>High</v>
      </c>
    </row>
    <row r="1011" spans="1:13" x14ac:dyDescent="0.35">
      <c r="A1011">
        <v>9.6</v>
      </c>
      <c r="B1011">
        <v>0.5</v>
      </c>
      <c r="C1011">
        <v>0.36</v>
      </c>
      <c r="D1011">
        <v>2.8</v>
      </c>
      <c r="E1011">
        <v>0.11600000000000001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  <c r="M1011" t="str">
        <f t="shared" si="17"/>
        <v>Medium</v>
      </c>
    </row>
    <row r="1012" spans="1:13" x14ac:dyDescent="0.35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7</v>
      </c>
      <c r="M1012" t="str">
        <f t="shared" si="17"/>
        <v>High</v>
      </c>
    </row>
    <row r="1013" spans="1:13" x14ac:dyDescent="0.35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6</v>
      </c>
      <c r="M1013" t="str">
        <f t="shared" si="17"/>
        <v>Medium</v>
      </c>
    </row>
    <row r="1014" spans="1:13" x14ac:dyDescent="0.35">
      <c r="A1014">
        <v>7.7</v>
      </c>
      <c r="B1014">
        <v>1.0049999999999999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0.99604000000000004</v>
      </c>
      <c r="I1014">
        <v>3.23</v>
      </c>
      <c r="J1014">
        <v>0.48</v>
      </c>
      <c r="K1014">
        <v>10</v>
      </c>
      <c r="L1014">
        <v>5</v>
      </c>
      <c r="M1014" t="str">
        <f t="shared" si="17"/>
        <v>Medium</v>
      </c>
    </row>
    <row r="1015" spans="1:13" x14ac:dyDescent="0.35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6</v>
      </c>
      <c r="M1015" t="str">
        <f t="shared" si="17"/>
        <v>Medium</v>
      </c>
    </row>
    <row r="1016" spans="1:13" x14ac:dyDescent="0.35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6</v>
      </c>
      <c r="M1016" t="str">
        <f t="shared" si="17"/>
        <v>Medium</v>
      </c>
    </row>
    <row r="1017" spans="1:13" x14ac:dyDescent="0.35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6</v>
      </c>
      <c r="M1017" t="str">
        <f t="shared" si="17"/>
        <v>Medium</v>
      </c>
    </row>
    <row r="1018" spans="1:13" x14ac:dyDescent="0.35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7</v>
      </c>
      <c r="M1018" t="str">
        <f t="shared" si="17"/>
        <v>High</v>
      </c>
    </row>
    <row r="1019" spans="1:13" x14ac:dyDescent="0.35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6</v>
      </c>
      <c r="M1019" t="str">
        <f t="shared" si="17"/>
        <v>Medium</v>
      </c>
    </row>
    <row r="1020" spans="1:13" x14ac:dyDescent="0.35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6</v>
      </c>
      <c r="M1020" t="str">
        <f t="shared" si="17"/>
        <v>Medium</v>
      </c>
    </row>
    <row r="1021" spans="1:13" x14ac:dyDescent="0.35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5</v>
      </c>
      <c r="M1021" t="str">
        <f t="shared" si="17"/>
        <v>Medium</v>
      </c>
    </row>
    <row r="1022" spans="1:13" x14ac:dyDescent="0.35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6</v>
      </c>
      <c r="M1022" t="str">
        <f t="shared" si="17"/>
        <v>Medium</v>
      </c>
    </row>
    <row r="1023" spans="1:13" x14ac:dyDescent="0.35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6</v>
      </c>
      <c r="M1023" t="str">
        <f t="shared" si="17"/>
        <v>Medium</v>
      </c>
    </row>
    <row r="1024" spans="1:13" x14ac:dyDescent="0.35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5</v>
      </c>
      <c r="M1024" t="str">
        <f t="shared" si="17"/>
        <v>Medium</v>
      </c>
    </row>
    <row r="1025" spans="1:13" x14ac:dyDescent="0.35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6</v>
      </c>
      <c r="M1025" t="str">
        <f t="shared" si="17"/>
        <v>Medium</v>
      </c>
    </row>
    <row r="1026" spans="1:13" x14ac:dyDescent="0.35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0.99568000000000001</v>
      </c>
      <c r="I1026">
        <v>3.32</v>
      </c>
      <c r="J1026">
        <v>0.56000000000000005</v>
      </c>
      <c r="K1026">
        <v>10.5</v>
      </c>
      <c r="L1026">
        <v>7</v>
      </c>
      <c r="M1026" t="str">
        <f t="shared" si="17"/>
        <v>High</v>
      </c>
    </row>
    <row r="1027" spans="1:13" x14ac:dyDescent="0.35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  <c r="M1027" t="str">
        <f t="shared" ref="M1027:M1090" si="18">IF(L1027&gt;=7,"High",IF(L1027&gt;=5,"Medium","Low"))</f>
        <v>Medium</v>
      </c>
    </row>
    <row r="1028" spans="1:13" x14ac:dyDescent="0.35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6</v>
      </c>
      <c r="M1028" t="str">
        <f t="shared" si="18"/>
        <v>Medium</v>
      </c>
    </row>
    <row r="1029" spans="1:13" x14ac:dyDescent="0.35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0.99378</v>
      </c>
      <c r="I1029">
        <v>3.49</v>
      </c>
      <c r="J1029">
        <v>0.52</v>
      </c>
      <c r="K1029">
        <v>11.6</v>
      </c>
      <c r="L1029">
        <v>5</v>
      </c>
      <c r="M1029" t="str">
        <f t="shared" si="18"/>
        <v>Medium</v>
      </c>
    </row>
    <row r="1030" spans="1:13" x14ac:dyDescent="0.35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6</v>
      </c>
      <c r="M1030" t="str">
        <f t="shared" si="18"/>
        <v>Medium</v>
      </c>
    </row>
    <row r="1031" spans="1:13" x14ac:dyDescent="0.35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0.99568000000000001</v>
      </c>
      <c r="I1031">
        <v>3.32</v>
      </c>
      <c r="J1031">
        <v>0.56000000000000005</v>
      </c>
      <c r="K1031">
        <v>10.5</v>
      </c>
      <c r="L1031">
        <v>7</v>
      </c>
      <c r="M1031" t="str">
        <f t="shared" si="18"/>
        <v>High</v>
      </c>
    </row>
    <row r="1032" spans="1:13" x14ac:dyDescent="0.35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0.99487999999999999</v>
      </c>
      <c r="I1032">
        <v>3.42</v>
      </c>
      <c r="J1032">
        <v>0.55000000000000004</v>
      </c>
      <c r="K1032">
        <v>11.5</v>
      </c>
      <c r="L1032">
        <v>7</v>
      </c>
      <c r="M1032" t="str">
        <f t="shared" si="18"/>
        <v>High</v>
      </c>
    </row>
    <row r="1033" spans="1:13" x14ac:dyDescent="0.35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0.99514000000000002</v>
      </c>
      <c r="I1033">
        <v>3.35</v>
      </c>
      <c r="J1033">
        <v>0.57999999999999996</v>
      </c>
      <c r="K1033">
        <v>11</v>
      </c>
      <c r="L1033">
        <v>7</v>
      </c>
      <c r="M1033" t="str">
        <f t="shared" si="18"/>
        <v>High</v>
      </c>
    </row>
    <row r="1034" spans="1:13" x14ac:dyDescent="0.35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5</v>
      </c>
      <c r="M1034" t="str">
        <f t="shared" si="18"/>
        <v>Medium</v>
      </c>
    </row>
    <row r="1035" spans="1:13" x14ac:dyDescent="0.35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6</v>
      </c>
      <c r="M1035" t="str">
        <f t="shared" si="18"/>
        <v>Medium</v>
      </c>
    </row>
    <row r="1036" spans="1:13" x14ac:dyDescent="0.35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6</v>
      </c>
      <c r="M1036" t="str">
        <f t="shared" si="18"/>
        <v>Medium</v>
      </c>
    </row>
    <row r="1037" spans="1:13" x14ac:dyDescent="0.35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0.99682999999999999</v>
      </c>
      <c r="I1037">
        <v>3.17</v>
      </c>
      <c r="J1037">
        <v>0.65</v>
      </c>
      <c r="K1037">
        <v>10.6</v>
      </c>
      <c r="L1037">
        <v>7</v>
      </c>
      <c r="M1037" t="str">
        <f t="shared" si="18"/>
        <v>High</v>
      </c>
    </row>
    <row r="1038" spans="1:13" x14ac:dyDescent="0.35">
      <c r="A1038">
        <v>7.6</v>
      </c>
      <c r="B1038">
        <v>0.31</v>
      </c>
      <c r="C1038">
        <v>0.34</v>
      </c>
      <c r="D1038">
        <v>2.5</v>
      </c>
      <c r="E1038">
        <v>8.2000000000000003E-2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  <c r="M1038" t="str">
        <f t="shared" si="18"/>
        <v>High</v>
      </c>
    </row>
    <row r="1039" spans="1:13" x14ac:dyDescent="0.35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5</v>
      </c>
      <c r="M1039" t="str">
        <f t="shared" si="18"/>
        <v>Medium</v>
      </c>
    </row>
    <row r="1040" spans="1:13" x14ac:dyDescent="0.35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7</v>
      </c>
      <c r="M1040" t="str">
        <f t="shared" si="18"/>
        <v>High</v>
      </c>
    </row>
    <row r="1041" spans="1:13" x14ac:dyDescent="0.35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6</v>
      </c>
      <c r="M1041" t="str">
        <f t="shared" si="18"/>
        <v>Medium</v>
      </c>
    </row>
    <row r="1042" spans="1:13" x14ac:dyDescent="0.35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5</v>
      </c>
      <c r="M1042" t="str">
        <f t="shared" si="18"/>
        <v>Medium</v>
      </c>
    </row>
    <row r="1043" spans="1:13" x14ac:dyDescent="0.35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6</v>
      </c>
      <c r="M1043" t="str">
        <f t="shared" si="18"/>
        <v>Medium</v>
      </c>
    </row>
    <row r="1044" spans="1:13" x14ac:dyDescent="0.35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6</v>
      </c>
      <c r="M1044" t="str">
        <f t="shared" si="18"/>
        <v>Medium</v>
      </c>
    </row>
    <row r="1045" spans="1:13" x14ac:dyDescent="0.35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7</v>
      </c>
      <c r="M1045" t="str">
        <f t="shared" si="18"/>
        <v>High</v>
      </c>
    </row>
    <row r="1046" spans="1:13" x14ac:dyDescent="0.35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0.99294000000000004</v>
      </c>
      <c r="I1046">
        <v>3.36</v>
      </c>
      <c r="J1046">
        <v>0.62</v>
      </c>
      <c r="K1046">
        <v>12.2</v>
      </c>
      <c r="L1046">
        <v>6</v>
      </c>
      <c r="M1046" t="str">
        <f t="shared" si="18"/>
        <v>Medium</v>
      </c>
    </row>
    <row r="1047" spans="1:13" x14ac:dyDescent="0.35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0.99438000000000004</v>
      </c>
      <c r="I1047">
        <v>3.32</v>
      </c>
      <c r="J1047">
        <v>0.57999999999999996</v>
      </c>
      <c r="K1047">
        <v>11.4</v>
      </c>
      <c r="L1047">
        <v>6</v>
      </c>
      <c r="M1047" t="str">
        <f t="shared" si="18"/>
        <v>Medium</v>
      </c>
    </row>
    <row r="1048" spans="1:13" x14ac:dyDescent="0.35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6</v>
      </c>
      <c r="M1048" t="str">
        <f t="shared" si="18"/>
        <v>Medium</v>
      </c>
    </row>
    <row r="1049" spans="1:13" x14ac:dyDescent="0.35">
      <c r="A1049">
        <v>7.1</v>
      </c>
      <c r="B1049">
        <v>0.43</v>
      </c>
      <c r="C1049">
        <v>0.17</v>
      </c>
      <c r="D1049">
        <v>1.8</v>
      </c>
      <c r="E1049">
        <v>8.2000000000000003E-2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  <c r="M1049" t="str">
        <f t="shared" si="18"/>
        <v>Medium</v>
      </c>
    </row>
    <row r="1050" spans="1:13" x14ac:dyDescent="0.35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6</v>
      </c>
      <c r="M1050" t="str">
        <f t="shared" si="18"/>
        <v>Medium</v>
      </c>
    </row>
    <row r="1051" spans="1:13" x14ac:dyDescent="0.35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0.99704000000000004</v>
      </c>
      <c r="I1051">
        <v>3.27</v>
      </c>
      <c r="J1051">
        <v>0.77</v>
      </c>
      <c r="K1051">
        <v>10.8</v>
      </c>
      <c r="L1051">
        <v>6</v>
      </c>
      <c r="M1051" t="str">
        <f t="shared" si="18"/>
        <v>Medium</v>
      </c>
    </row>
    <row r="1052" spans="1:13" x14ac:dyDescent="0.35">
      <c r="A1052">
        <v>7.1</v>
      </c>
      <c r="B1052">
        <v>0.43</v>
      </c>
      <c r="C1052">
        <v>0.17</v>
      </c>
      <c r="D1052">
        <v>1.8</v>
      </c>
      <c r="E1052">
        <v>8.2000000000000003E-2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  <c r="M1052" t="str">
        <f t="shared" si="18"/>
        <v>Medium</v>
      </c>
    </row>
    <row r="1053" spans="1:13" x14ac:dyDescent="0.35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5</v>
      </c>
      <c r="M1053" t="str">
        <f t="shared" si="18"/>
        <v>Medium</v>
      </c>
    </row>
    <row r="1054" spans="1:13" x14ac:dyDescent="0.35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0.99258000000000002</v>
      </c>
      <c r="I1054">
        <v>3.56</v>
      </c>
      <c r="J1054">
        <v>0.55000000000000004</v>
      </c>
      <c r="K1054">
        <v>12.9</v>
      </c>
      <c r="L1054">
        <v>5</v>
      </c>
      <c r="M1054" t="str">
        <f t="shared" si="18"/>
        <v>Medium</v>
      </c>
    </row>
    <row r="1055" spans="1:13" x14ac:dyDescent="0.35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7</v>
      </c>
      <c r="M1055" t="str">
        <f t="shared" si="18"/>
        <v>High</v>
      </c>
    </row>
    <row r="1056" spans="1:13" x14ac:dyDescent="0.35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6</v>
      </c>
      <c r="M1056" t="str">
        <f t="shared" si="18"/>
        <v>Medium</v>
      </c>
    </row>
    <row r="1057" spans="1:13" x14ac:dyDescent="0.35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6</v>
      </c>
      <c r="M1057" t="str">
        <f t="shared" si="18"/>
        <v>Medium</v>
      </c>
    </row>
    <row r="1058" spans="1:13" x14ac:dyDescent="0.35">
      <c r="A1058">
        <v>8.9</v>
      </c>
      <c r="B1058">
        <v>0.48</v>
      </c>
      <c r="C1058">
        <v>0.53</v>
      </c>
      <c r="D1058">
        <v>4</v>
      </c>
      <c r="E1058">
        <v>0.10100000000000001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7</v>
      </c>
      <c r="M1058" t="str">
        <f t="shared" si="18"/>
        <v>High</v>
      </c>
    </row>
    <row r="1059" spans="1:13" x14ac:dyDescent="0.35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5</v>
      </c>
      <c r="M1059" t="str">
        <f t="shared" si="18"/>
        <v>Medium</v>
      </c>
    </row>
    <row r="1060" spans="1:13" x14ac:dyDescent="0.35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7</v>
      </c>
      <c r="M1060" t="str">
        <f t="shared" si="18"/>
        <v>High</v>
      </c>
    </row>
    <row r="1061" spans="1:13" x14ac:dyDescent="0.35">
      <c r="A1061">
        <v>8.9</v>
      </c>
      <c r="B1061">
        <v>0.48</v>
      </c>
      <c r="C1061">
        <v>0.53</v>
      </c>
      <c r="D1061">
        <v>4</v>
      </c>
      <c r="E1061">
        <v>0.10100000000000001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7</v>
      </c>
      <c r="M1061" t="str">
        <f t="shared" si="18"/>
        <v>High</v>
      </c>
    </row>
    <row r="1062" spans="1:13" x14ac:dyDescent="0.35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6</v>
      </c>
      <c r="M1062" t="str">
        <f t="shared" si="18"/>
        <v>Medium</v>
      </c>
    </row>
    <row r="1063" spans="1:13" x14ac:dyDescent="0.35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8</v>
      </c>
      <c r="M1063" t="str">
        <f t="shared" si="18"/>
        <v>High</v>
      </c>
    </row>
    <row r="1064" spans="1:13" x14ac:dyDescent="0.35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6</v>
      </c>
      <c r="M1064" t="str">
        <f t="shared" si="18"/>
        <v>Medium</v>
      </c>
    </row>
    <row r="1065" spans="1:13" x14ac:dyDescent="0.35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6</v>
      </c>
      <c r="M1065" t="str">
        <f t="shared" si="18"/>
        <v>Medium</v>
      </c>
    </row>
    <row r="1066" spans="1:13" x14ac:dyDescent="0.35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6</v>
      </c>
      <c r="M1066" t="str">
        <f t="shared" si="18"/>
        <v>Medium</v>
      </c>
    </row>
    <row r="1067" spans="1:13" x14ac:dyDescent="0.35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6</v>
      </c>
      <c r="M1067" t="str">
        <f t="shared" si="18"/>
        <v>Medium</v>
      </c>
    </row>
    <row r="1068" spans="1:13" x14ac:dyDescent="0.35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0.99358000000000002</v>
      </c>
      <c r="I1068">
        <v>3.4</v>
      </c>
      <c r="J1068">
        <v>0.72</v>
      </c>
      <c r="K1068">
        <v>12.5</v>
      </c>
      <c r="L1068">
        <v>7</v>
      </c>
      <c r="M1068" t="str">
        <f t="shared" si="18"/>
        <v>High</v>
      </c>
    </row>
    <row r="1069" spans="1:13" x14ac:dyDescent="0.35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7</v>
      </c>
      <c r="M1069" t="str">
        <f t="shared" si="18"/>
        <v>High</v>
      </c>
    </row>
    <row r="1070" spans="1:13" x14ac:dyDescent="0.35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7</v>
      </c>
      <c r="M1070" t="str">
        <f t="shared" si="18"/>
        <v>High</v>
      </c>
    </row>
    <row r="1071" spans="1:13" x14ac:dyDescent="0.35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  <c r="M1071" t="str">
        <f t="shared" si="18"/>
        <v>Medium</v>
      </c>
    </row>
    <row r="1072" spans="1:13" x14ac:dyDescent="0.35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7</v>
      </c>
      <c r="M1072" t="str">
        <f t="shared" si="18"/>
        <v>High</v>
      </c>
    </row>
    <row r="1073" spans="1:13" x14ac:dyDescent="0.35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5</v>
      </c>
      <c r="M1073" t="str">
        <f t="shared" si="18"/>
        <v>Medium</v>
      </c>
    </row>
    <row r="1074" spans="1:13" x14ac:dyDescent="0.35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6</v>
      </c>
      <c r="M1074" t="str">
        <f t="shared" si="18"/>
        <v>Medium</v>
      </c>
    </row>
    <row r="1075" spans="1:13" x14ac:dyDescent="0.35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6</v>
      </c>
      <c r="M1075" t="str">
        <f t="shared" si="18"/>
        <v>Medium</v>
      </c>
    </row>
    <row r="1076" spans="1:13" x14ac:dyDescent="0.35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5</v>
      </c>
      <c r="M1076" t="str">
        <f t="shared" si="18"/>
        <v>Medium</v>
      </c>
    </row>
    <row r="1077" spans="1:13" x14ac:dyDescent="0.35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7</v>
      </c>
      <c r="M1077" t="str">
        <f t="shared" si="18"/>
        <v>High</v>
      </c>
    </row>
    <row r="1078" spans="1:13" x14ac:dyDescent="0.35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  <c r="M1078" t="str">
        <f t="shared" si="18"/>
        <v>Medium</v>
      </c>
    </row>
    <row r="1079" spans="1:13" x14ac:dyDescent="0.35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5</v>
      </c>
      <c r="M1079" t="str">
        <f t="shared" si="18"/>
        <v>Medium</v>
      </c>
    </row>
    <row r="1080" spans="1:13" x14ac:dyDescent="0.35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5</v>
      </c>
      <c r="M1080" t="str">
        <f t="shared" si="18"/>
        <v>Medium</v>
      </c>
    </row>
    <row r="1081" spans="1:13" x14ac:dyDescent="0.35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37.5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7</v>
      </c>
      <c r="M1081" t="str">
        <f t="shared" si="18"/>
        <v>High</v>
      </c>
    </row>
    <row r="1082" spans="1:13" x14ac:dyDescent="0.35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6</v>
      </c>
      <c r="M1082" t="str">
        <f t="shared" si="18"/>
        <v>Medium</v>
      </c>
    </row>
    <row r="1083" spans="1:13" x14ac:dyDescent="0.35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37.5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7</v>
      </c>
      <c r="M1083" t="str">
        <f t="shared" si="18"/>
        <v>High</v>
      </c>
    </row>
    <row r="1084" spans="1:13" x14ac:dyDescent="0.35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6</v>
      </c>
      <c r="M1084" t="str">
        <f t="shared" si="18"/>
        <v>Medium</v>
      </c>
    </row>
    <row r="1085" spans="1:13" x14ac:dyDescent="0.35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  <c r="M1085" t="str">
        <f t="shared" si="18"/>
        <v>Medium</v>
      </c>
    </row>
    <row r="1086" spans="1:13" x14ac:dyDescent="0.35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6</v>
      </c>
      <c r="M1086" t="str">
        <f t="shared" si="18"/>
        <v>Medium</v>
      </c>
    </row>
    <row r="1087" spans="1:13" x14ac:dyDescent="0.35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5</v>
      </c>
      <c r="M1087" t="str">
        <f t="shared" si="18"/>
        <v>Medium</v>
      </c>
    </row>
    <row r="1088" spans="1:13" x14ac:dyDescent="0.35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0.99738000000000004</v>
      </c>
      <c r="I1088">
        <v>3.38</v>
      </c>
      <c r="J1088">
        <v>0.66</v>
      </c>
      <c r="K1088">
        <v>11.6</v>
      </c>
      <c r="L1088">
        <v>7</v>
      </c>
      <c r="M1088" t="str">
        <f t="shared" si="18"/>
        <v>High</v>
      </c>
    </row>
    <row r="1089" spans="1:13" x14ac:dyDescent="0.35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6</v>
      </c>
      <c r="M1089" t="str">
        <f t="shared" si="18"/>
        <v>Medium</v>
      </c>
    </row>
    <row r="1090" spans="1:13" x14ac:dyDescent="0.35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7</v>
      </c>
      <c r="M1090" t="str">
        <f t="shared" si="18"/>
        <v>High</v>
      </c>
    </row>
    <row r="1091" spans="1:13" x14ac:dyDescent="0.35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7</v>
      </c>
      <c r="M1091" t="str">
        <f t="shared" ref="M1091:M1154" si="19">IF(L1091&gt;=7,"High",IF(L1091&gt;=5,"Medium","Low"))</f>
        <v>High</v>
      </c>
    </row>
    <row r="1092" spans="1:13" x14ac:dyDescent="0.35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8</v>
      </c>
      <c r="M1092" t="str">
        <f t="shared" si="19"/>
        <v>High</v>
      </c>
    </row>
    <row r="1093" spans="1:13" x14ac:dyDescent="0.35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6</v>
      </c>
      <c r="M1093" t="str">
        <f t="shared" si="19"/>
        <v>Medium</v>
      </c>
    </row>
    <row r="1094" spans="1:13" x14ac:dyDescent="0.35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6</v>
      </c>
      <c r="M1094" t="str">
        <f t="shared" si="19"/>
        <v>Medium</v>
      </c>
    </row>
    <row r="1095" spans="1:13" x14ac:dyDescent="0.35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7</v>
      </c>
      <c r="M1095" t="str">
        <f t="shared" si="19"/>
        <v>High</v>
      </c>
    </row>
    <row r="1096" spans="1:13" x14ac:dyDescent="0.35">
      <c r="A1096">
        <v>6.6</v>
      </c>
      <c r="B1096">
        <v>0.72499999999999998</v>
      </c>
      <c r="C1096">
        <v>0.09</v>
      </c>
      <c r="D1096">
        <v>5.5</v>
      </c>
      <c r="E1096">
        <v>0.11700000000000001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6</v>
      </c>
      <c r="M1096" t="str">
        <f t="shared" si="19"/>
        <v>Medium</v>
      </c>
    </row>
    <row r="1097" spans="1:13" x14ac:dyDescent="0.35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5</v>
      </c>
      <c r="M1097" t="str">
        <f t="shared" si="19"/>
        <v>Medium</v>
      </c>
    </row>
    <row r="1098" spans="1:13" x14ac:dyDescent="0.35">
      <c r="A1098">
        <v>6.6</v>
      </c>
      <c r="B1098">
        <v>0.72499999999999998</v>
      </c>
      <c r="C1098">
        <v>0.09</v>
      </c>
      <c r="D1098">
        <v>5.5</v>
      </c>
      <c r="E1098">
        <v>0.11700000000000001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6</v>
      </c>
      <c r="M1098" t="str">
        <f t="shared" si="19"/>
        <v>Medium</v>
      </c>
    </row>
    <row r="1099" spans="1:13" x14ac:dyDescent="0.35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5</v>
      </c>
      <c r="M1099" t="str">
        <f t="shared" si="19"/>
        <v>Medium</v>
      </c>
    </row>
    <row r="1100" spans="1:13" x14ac:dyDescent="0.35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0.99358000000000002</v>
      </c>
      <c r="I1100">
        <v>3.15</v>
      </c>
      <c r="J1100">
        <v>0.81</v>
      </c>
      <c r="K1100">
        <v>12.5</v>
      </c>
      <c r="L1100">
        <v>7</v>
      </c>
      <c r="M1100" t="str">
        <f t="shared" si="19"/>
        <v>High</v>
      </c>
    </row>
    <row r="1101" spans="1:13" x14ac:dyDescent="0.35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5</v>
      </c>
      <c r="M1101" t="str">
        <f t="shared" si="19"/>
        <v>Medium</v>
      </c>
    </row>
    <row r="1102" spans="1:13" x14ac:dyDescent="0.35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6</v>
      </c>
      <c r="M1102" t="str">
        <f t="shared" si="19"/>
        <v>Medium</v>
      </c>
    </row>
    <row r="1103" spans="1:13" x14ac:dyDescent="0.35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0.99387999999999999</v>
      </c>
      <c r="I1103">
        <v>3.35</v>
      </c>
      <c r="J1103">
        <v>0.63</v>
      </c>
      <c r="K1103">
        <v>12</v>
      </c>
      <c r="L1103">
        <v>6</v>
      </c>
      <c r="M1103" t="str">
        <f t="shared" si="19"/>
        <v>Medium</v>
      </c>
    </row>
    <row r="1104" spans="1:13" x14ac:dyDescent="0.35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6</v>
      </c>
      <c r="M1104" t="str">
        <f t="shared" si="19"/>
        <v>Medium</v>
      </c>
    </row>
    <row r="1105" spans="1:13" x14ac:dyDescent="0.35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0.99387999999999999</v>
      </c>
      <c r="I1105">
        <v>3.35</v>
      </c>
      <c r="J1105">
        <v>0.63</v>
      </c>
      <c r="K1105">
        <v>12</v>
      </c>
      <c r="L1105">
        <v>6</v>
      </c>
      <c r="M1105" t="str">
        <f t="shared" si="19"/>
        <v>Medium</v>
      </c>
    </row>
    <row r="1106" spans="1:13" x14ac:dyDescent="0.35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6</v>
      </c>
      <c r="M1106" t="str">
        <f t="shared" si="19"/>
        <v>Medium</v>
      </c>
    </row>
    <row r="1107" spans="1:13" x14ac:dyDescent="0.35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5</v>
      </c>
      <c r="M1107" t="str">
        <f t="shared" si="19"/>
        <v>Medium</v>
      </c>
    </row>
    <row r="1108" spans="1:13" x14ac:dyDescent="0.35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6</v>
      </c>
      <c r="M1108" t="str">
        <f t="shared" si="19"/>
        <v>Medium</v>
      </c>
    </row>
    <row r="1109" spans="1:13" x14ac:dyDescent="0.35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7</v>
      </c>
      <c r="M1109" t="str">
        <f t="shared" si="19"/>
        <v>High</v>
      </c>
    </row>
    <row r="1110" spans="1:13" x14ac:dyDescent="0.35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5</v>
      </c>
      <c r="M1110" t="str">
        <f t="shared" si="19"/>
        <v>Medium</v>
      </c>
    </row>
    <row r="1111" spans="1:13" x14ac:dyDescent="0.35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6</v>
      </c>
      <c r="M1111" t="str">
        <f t="shared" si="19"/>
        <v>Medium</v>
      </c>
    </row>
    <row r="1112" spans="1:13" x14ac:dyDescent="0.35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6</v>
      </c>
      <c r="M1112" t="str">
        <f t="shared" si="19"/>
        <v>Medium</v>
      </c>
    </row>
    <row r="1113" spans="1:13" x14ac:dyDescent="0.35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7</v>
      </c>
      <c r="M1113" t="str">
        <f t="shared" si="19"/>
        <v>High</v>
      </c>
    </row>
    <row r="1114" spans="1:13" x14ac:dyDescent="0.35">
      <c r="A1114">
        <v>7.9</v>
      </c>
      <c r="B1114">
        <v>0.33</v>
      </c>
      <c r="C1114">
        <v>0.41</v>
      </c>
      <c r="D1114">
        <v>1.5</v>
      </c>
      <c r="E1114">
        <v>5.6000000000000001E-2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6</v>
      </c>
      <c r="M1114" t="str">
        <f t="shared" si="19"/>
        <v>Medium</v>
      </c>
    </row>
    <row r="1115" spans="1:13" x14ac:dyDescent="0.35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6</v>
      </c>
      <c r="M1115" t="str">
        <f t="shared" si="19"/>
        <v>Medium</v>
      </c>
    </row>
    <row r="1116" spans="1:13" x14ac:dyDescent="0.35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6</v>
      </c>
      <c r="M1116" t="str">
        <f t="shared" si="19"/>
        <v>Medium</v>
      </c>
    </row>
    <row r="1117" spans="1:13" x14ac:dyDescent="0.35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6</v>
      </c>
      <c r="M1117" t="str">
        <f t="shared" si="19"/>
        <v>Medium</v>
      </c>
    </row>
    <row r="1118" spans="1:13" x14ac:dyDescent="0.35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6</v>
      </c>
      <c r="M1118" t="str">
        <f t="shared" si="19"/>
        <v>Medium</v>
      </c>
    </row>
    <row r="1119" spans="1:13" x14ac:dyDescent="0.35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6</v>
      </c>
      <c r="M1119" t="str">
        <f t="shared" si="19"/>
        <v>Medium</v>
      </c>
    </row>
    <row r="1120" spans="1:13" x14ac:dyDescent="0.35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6</v>
      </c>
      <c r="M1120" t="str">
        <f t="shared" si="19"/>
        <v>Medium</v>
      </c>
    </row>
    <row r="1121" spans="1:13" x14ac:dyDescent="0.35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5</v>
      </c>
      <c r="M1121" t="str">
        <f t="shared" si="19"/>
        <v>Medium</v>
      </c>
    </row>
    <row r="1122" spans="1:13" x14ac:dyDescent="0.35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8</v>
      </c>
      <c r="M1122" t="str">
        <f t="shared" si="19"/>
        <v>High</v>
      </c>
    </row>
    <row r="1123" spans="1:13" x14ac:dyDescent="0.35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6</v>
      </c>
      <c r="M1123" t="str">
        <f t="shared" si="19"/>
        <v>Medium</v>
      </c>
    </row>
    <row r="1124" spans="1:13" x14ac:dyDescent="0.35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6</v>
      </c>
      <c r="M1124" t="str">
        <f t="shared" si="19"/>
        <v>Medium</v>
      </c>
    </row>
    <row r="1125" spans="1:13" x14ac:dyDescent="0.35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6</v>
      </c>
      <c r="M1125" t="str">
        <f t="shared" si="19"/>
        <v>Medium</v>
      </c>
    </row>
    <row r="1126" spans="1:13" x14ac:dyDescent="0.35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4</v>
      </c>
      <c r="M1126" t="str">
        <f t="shared" si="19"/>
        <v>Low</v>
      </c>
    </row>
    <row r="1127" spans="1:13" x14ac:dyDescent="0.35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0.99394000000000005</v>
      </c>
      <c r="I1127">
        <v>3.14</v>
      </c>
      <c r="J1127">
        <v>0.59</v>
      </c>
      <c r="K1127">
        <v>11.3</v>
      </c>
      <c r="L1127">
        <v>7</v>
      </c>
      <c r="M1127" t="str">
        <f t="shared" si="19"/>
        <v>High</v>
      </c>
    </row>
    <row r="1128" spans="1:13" x14ac:dyDescent="0.35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6</v>
      </c>
      <c r="M1128" t="str">
        <f t="shared" si="19"/>
        <v>Medium</v>
      </c>
    </row>
    <row r="1129" spans="1:13" x14ac:dyDescent="0.35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6</v>
      </c>
      <c r="M1129" t="str">
        <f t="shared" si="19"/>
        <v>Medium</v>
      </c>
    </row>
    <row r="1130" spans="1:13" x14ac:dyDescent="0.35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5</v>
      </c>
      <c r="M1130" t="str">
        <f t="shared" si="19"/>
        <v>Medium</v>
      </c>
    </row>
    <row r="1131" spans="1:13" x14ac:dyDescent="0.35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6</v>
      </c>
      <c r="M1131" t="str">
        <f t="shared" si="19"/>
        <v>Medium</v>
      </c>
    </row>
    <row r="1132" spans="1:13" x14ac:dyDescent="0.35">
      <c r="A1132">
        <v>9.1</v>
      </c>
      <c r="B1132">
        <v>0.6</v>
      </c>
      <c r="C1132">
        <v>0</v>
      </c>
      <c r="D1132">
        <v>1.9</v>
      </c>
      <c r="E1132">
        <v>5.8000000000000003E-2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6</v>
      </c>
      <c r="M1132" t="str">
        <f t="shared" si="19"/>
        <v>Medium</v>
      </c>
    </row>
    <row r="1133" spans="1:13" x14ac:dyDescent="0.35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5</v>
      </c>
      <c r="M1133" t="str">
        <f t="shared" si="19"/>
        <v>Medium</v>
      </c>
    </row>
    <row r="1134" spans="1:13" x14ac:dyDescent="0.35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7</v>
      </c>
      <c r="M1134" t="str">
        <f t="shared" si="19"/>
        <v>High</v>
      </c>
    </row>
    <row r="1135" spans="1:13" x14ac:dyDescent="0.35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7</v>
      </c>
      <c r="M1135" t="str">
        <f t="shared" si="19"/>
        <v>High</v>
      </c>
    </row>
    <row r="1136" spans="1:13" x14ac:dyDescent="0.35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7</v>
      </c>
      <c r="M1136" t="str">
        <f t="shared" si="19"/>
        <v>High</v>
      </c>
    </row>
    <row r="1137" spans="1:13" x14ac:dyDescent="0.35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6</v>
      </c>
      <c r="M1137" t="str">
        <f t="shared" si="19"/>
        <v>Medium</v>
      </c>
    </row>
    <row r="1138" spans="1:13" x14ac:dyDescent="0.35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6</v>
      </c>
      <c r="M1138" t="str">
        <f t="shared" si="19"/>
        <v>Medium</v>
      </c>
    </row>
    <row r="1139" spans="1:13" x14ac:dyDescent="0.35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6</v>
      </c>
      <c r="M1139" t="str">
        <f t="shared" si="19"/>
        <v>Medium</v>
      </c>
    </row>
    <row r="1140" spans="1:13" x14ac:dyDescent="0.35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5</v>
      </c>
      <c r="M1140" t="str">
        <f t="shared" si="19"/>
        <v>Medium</v>
      </c>
    </row>
    <row r="1141" spans="1:13" x14ac:dyDescent="0.35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6</v>
      </c>
      <c r="M1141" t="str">
        <f t="shared" si="19"/>
        <v>Medium</v>
      </c>
    </row>
    <row r="1142" spans="1:13" x14ac:dyDescent="0.35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6</v>
      </c>
      <c r="M1142" t="str">
        <f t="shared" si="19"/>
        <v>Medium</v>
      </c>
    </row>
    <row r="1143" spans="1:13" x14ac:dyDescent="0.35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6</v>
      </c>
      <c r="M1143" t="str">
        <f t="shared" si="19"/>
        <v>Medium</v>
      </c>
    </row>
    <row r="1144" spans="1:13" x14ac:dyDescent="0.35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6</v>
      </c>
      <c r="M1144" t="str">
        <f t="shared" si="19"/>
        <v>Medium</v>
      </c>
    </row>
    <row r="1145" spans="1:13" x14ac:dyDescent="0.35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6</v>
      </c>
      <c r="M1145" t="str">
        <f t="shared" si="19"/>
        <v>Medium</v>
      </c>
    </row>
    <row r="1146" spans="1:13" x14ac:dyDescent="0.35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0.99587999999999999</v>
      </c>
      <c r="I1146">
        <v>3.43</v>
      </c>
      <c r="J1146">
        <v>0.62</v>
      </c>
      <c r="K1146">
        <v>10.1</v>
      </c>
      <c r="L1146">
        <v>5</v>
      </c>
      <c r="M1146" t="str">
        <f t="shared" si="19"/>
        <v>Medium</v>
      </c>
    </row>
    <row r="1147" spans="1:13" x14ac:dyDescent="0.35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6</v>
      </c>
      <c r="M1147" t="str">
        <f t="shared" si="19"/>
        <v>Medium</v>
      </c>
    </row>
    <row r="1148" spans="1:13" x14ac:dyDescent="0.35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6</v>
      </c>
      <c r="M1148" t="str">
        <f t="shared" si="19"/>
        <v>Medium</v>
      </c>
    </row>
    <row r="1149" spans="1:13" x14ac:dyDescent="0.35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7</v>
      </c>
      <c r="M1149" t="str">
        <f t="shared" si="19"/>
        <v>High</v>
      </c>
    </row>
    <row r="1150" spans="1:13" x14ac:dyDescent="0.35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6</v>
      </c>
      <c r="M1150" t="str">
        <f t="shared" si="19"/>
        <v>Medium</v>
      </c>
    </row>
    <row r="1151" spans="1:13" x14ac:dyDescent="0.35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6</v>
      </c>
      <c r="M1151" t="str">
        <f t="shared" si="19"/>
        <v>Medium</v>
      </c>
    </row>
    <row r="1152" spans="1:13" x14ac:dyDescent="0.35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0.99473</v>
      </c>
      <c r="I1152">
        <v>3.3</v>
      </c>
      <c r="J1152">
        <v>0.76</v>
      </c>
      <c r="K1152">
        <v>12.8</v>
      </c>
      <c r="L1152">
        <v>7</v>
      </c>
      <c r="M1152" t="str">
        <f t="shared" si="19"/>
        <v>High</v>
      </c>
    </row>
    <row r="1153" spans="1:13" x14ac:dyDescent="0.35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6</v>
      </c>
      <c r="M1153" t="str">
        <f t="shared" si="19"/>
        <v>Medium</v>
      </c>
    </row>
    <row r="1154" spans="1:13" x14ac:dyDescent="0.35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5</v>
      </c>
      <c r="M1154" t="str">
        <f t="shared" si="19"/>
        <v>Medium</v>
      </c>
    </row>
    <row r="1155" spans="1:13" x14ac:dyDescent="0.35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6</v>
      </c>
      <c r="M1155" t="str">
        <f t="shared" ref="M1155:M1218" si="20">IF(L1155&gt;=7,"High",IF(L1155&gt;=5,"Medium","Low"))</f>
        <v>Medium</v>
      </c>
    </row>
    <row r="1156" spans="1:13" x14ac:dyDescent="0.35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6</v>
      </c>
      <c r="M1156" t="str">
        <f t="shared" si="20"/>
        <v>Medium</v>
      </c>
    </row>
    <row r="1157" spans="1:13" x14ac:dyDescent="0.35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5</v>
      </c>
      <c r="M1157" t="str">
        <f t="shared" si="20"/>
        <v>Medium</v>
      </c>
    </row>
    <row r="1158" spans="1:13" x14ac:dyDescent="0.35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7</v>
      </c>
      <c r="M1158" t="str">
        <f t="shared" si="20"/>
        <v>High</v>
      </c>
    </row>
    <row r="1159" spans="1:13" x14ac:dyDescent="0.35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7</v>
      </c>
      <c r="M1159" t="str">
        <f t="shared" si="20"/>
        <v>High</v>
      </c>
    </row>
    <row r="1160" spans="1:13" x14ac:dyDescent="0.35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6</v>
      </c>
      <c r="M1160" t="str">
        <f t="shared" si="20"/>
        <v>Medium</v>
      </c>
    </row>
    <row r="1161" spans="1:13" x14ac:dyDescent="0.35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0.99728000000000006</v>
      </c>
      <c r="I1161">
        <v>3.16</v>
      </c>
      <c r="J1161">
        <v>0.67</v>
      </c>
      <c r="K1161">
        <v>10.8</v>
      </c>
      <c r="L1161">
        <v>5</v>
      </c>
      <c r="M1161" t="str">
        <f t="shared" si="20"/>
        <v>Medium</v>
      </c>
    </row>
    <row r="1162" spans="1:13" x14ac:dyDescent="0.35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7</v>
      </c>
      <c r="M1162" t="str">
        <f t="shared" si="20"/>
        <v>High</v>
      </c>
    </row>
    <row r="1163" spans="1:13" x14ac:dyDescent="0.35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6</v>
      </c>
      <c r="M1163" t="str">
        <f t="shared" si="20"/>
        <v>Medium</v>
      </c>
    </row>
    <row r="1164" spans="1:13" x14ac:dyDescent="0.35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  <c r="M1164" t="str">
        <f t="shared" si="20"/>
        <v>High</v>
      </c>
    </row>
    <row r="1165" spans="1:13" x14ac:dyDescent="0.35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5</v>
      </c>
      <c r="M1165" t="str">
        <f t="shared" si="20"/>
        <v>Medium</v>
      </c>
    </row>
    <row r="1166" spans="1:13" x14ac:dyDescent="0.35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5</v>
      </c>
      <c r="M1166" t="str">
        <f t="shared" si="20"/>
        <v>Medium</v>
      </c>
    </row>
    <row r="1167" spans="1:13" x14ac:dyDescent="0.35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5</v>
      </c>
      <c r="M1167" t="str">
        <f t="shared" si="20"/>
        <v>Medium</v>
      </c>
    </row>
    <row r="1168" spans="1:13" x14ac:dyDescent="0.35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0.99709000000000003</v>
      </c>
      <c r="I1168">
        <v>2.94</v>
      </c>
      <c r="J1168">
        <v>0.98</v>
      </c>
      <c r="K1168">
        <v>10.199999999999999</v>
      </c>
      <c r="L1168">
        <v>5</v>
      </c>
      <c r="M1168" t="str">
        <f t="shared" si="20"/>
        <v>Medium</v>
      </c>
    </row>
    <row r="1169" spans="1:13" x14ac:dyDescent="0.35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0.99528000000000005</v>
      </c>
      <c r="I1169">
        <v>3.32</v>
      </c>
      <c r="J1169">
        <v>0.88</v>
      </c>
      <c r="K1169">
        <v>12.4</v>
      </c>
      <c r="L1169">
        <v>7</v>
      </c>
      <c r="M1169" t="str">
        <f t="shared" si="20"/>
        <v>High</v>
      </c>
    </row>
    <row r="1170" spans="1:13" x14ac:dyDescent="0.35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6</v>
      </c>
      <c r="M1170" t="str">
        <f t="shared" si="20"/>
        <v>Medium</v>
      </c>
    </row>
    <row r="1171" spans="1:13" x14ac:dyDescent="0.35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6</v>
      </c>
      <c r="M1171" t="str">
        <f t="shared" si="20"/>
        <v>Medium</v>
      </c>
    </row>
    <row r="1172" spans="1:13" x14ac:dyDescent="0.35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6</v>
      </c>
      <c r="M1172" t="str">
        <f t="shared" si="20"/>
        <v>Medium</v>
      </c>
    </row>
    <row r="1173" spans="1:13" x14ac:dyDescent="0.35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6</v>
      </c>
      <c r="M1173" t="str">
        <f t="shared" si="20"/>
        <v>Medium</v>
      </c>
    </row>
    <row r="1174" spans="1:13" x14ac:dyDescent="0.35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6</v>
      </c>
      <c r="M1174" t="str">
        <f t="shared" si="20"/>
        <v>Medium</v>
      </c>
    </row>
    <row r="1175" spans="1:13" x14ac:dyDescent="0.35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6</v>
      </c>
      <c r="M1175" t="str">
        <f t="shared" si="20"/>
        <v>Medium</v>
      </c>
    </row>
    <row r="1176" spans="1:13" x14ac:dyDescent="0.35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6</v>
      </c>
      <c r="M1176" t="str">
        <f t="shared" si="20"/>
        <v>Medium</v>
      </c>
    </row>
    <row r="1177" spans="1:13" x14ac:dyDescent="0.35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6</v>
      </c>
      <c r="M1177" t="str">
        <f t="shared" si="20"/>
        <v>Medium</v>
      </c>
    </row>
    <row r="1178" spans="1:13" x14ac:dyDescent="0.35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4</v>
      </c>
      <c r="M1178" t="str">
        <f t="shared" si="20"/>
        <v>Low</v>
      </c>
    </row>
    <row r="1179" spans="1:13" x14ac:dyDescent="0.35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7</v>
      </c>
      <c r="M1179" t="str">
        <f t="shared" si="20"/>
        <v>High</v>
      </c>
    </row>
    <row r="1180" spans="1:13" x14ac:dyDescent="0.35">
      <c r="A1180">
        <v>5.6</v>
      </c>
      <c r="B1180">
        <v>0.91500000000000004</v>
      </c>
      <c r="C1180">
        <v>0</v>
      </c>
      <c r="D1180">
        <v>2.1</v>
      </c>
      <c r="E1180">
        <v>4.1000000000000002E-2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5</v>
      </c>
      <c r="M1180" t="str">
        <f t="shared" si="20"/>
        <v>Medium</v>
      </c>
    </row>
    <row r="1181" spans="1:13" x14ac:dyDescent="0.35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0.99599000000000004</v>
      </c>
      <c r="I1181">
        <v>3.27</v>
      </c>
      <c r="J1181">
        <v>0.81</v>
      </c>
      <c r="K1181">
        <v>11</v>
      </c>
      <c r="L1181">
        <v>6</v>
      </c>
      <c r="M1181" t="str">
        <f t="shared" si="20"/>
        <v>Medium</v>
      </c>
    </row>
    <row r="1182" spans="1:13" x14ac:dyDescent="0.35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0.99599000000000004</v>
      </c>
      <c r="I1182">
        <v>3.27</v>
      </c>
      <c r="J1182">
        <v>0.81</v>
      </c>
      <c r="K1182">
        <v>11</v>
      </c>
      <c r="L1182">
        <v>6</v>
      </c>
      <c r="M1182" t="str">
        <f t="shared" si="20"/>
        <v>Medium</v>
      </c>
    </row>
    <row r="1183" spans="1:13" x14ac:dyDescent="0.35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0.99478</v>
      </c>
      <c r="I1183">
        <v>3.19</v>
      </c>
      <c r="J1183">
        <v>0.46</v>
      </c>
      <c r="K1183">
        <v>11.4</v>
      </c>
      <c r="L1183">
        <v>5</v>
      </c>
      <c r="M1183" t="str">
        <f t="shared" si="20"/>
        <v>Medium</v>
      </c>
    </row>
    <row r="1184" spans="1:13" x14ac:dyDescent="0.35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6</v>
      </c>
      <c r="M1184" t="str">
        <f t="shared" si="20"/>
        <v>Medium</v>
      </c>
    </row>
    <row r="1185" spans="1:13" x14ac:dyDescent="0.35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5</v>
      </c>
      <c r="M1185" t="str">
        <f t="shared" si="20"/>
        <v>Medium</v>
      </c>
    </row>
    <row r="1186" spans="1:13" x14ac:dyDescent="0.35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0.99538000000000004</v>
      </c>
      <c r="I1186">
        <v>3.36</v>
      </c>
      <c r="J1186">
        <v>0.7</v>
      </c>
      <c r="K1186">
        <v>10.9</v>
      </c>
      <c r="L1186">
        <v>5</v>
      </c>
      <c r="M1186" t="str">
        <f t="shared" si="20"/>
        <v>Medium</v>
      </c>
    </row>
    <row r="1187" spans="1:13" x14ac:dyDescent="0.35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6</v>
      </c>
      <c r="M1187" t="str">
        <f t="shared" si="20"/>
        <v>Medium</v>
      </c>
    </row>
    <row r="1188" spans="1:13" x14ac:dyDescent="0.35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5</v>
      </c>
      <c r="M1188" t="str">
        <f t="shared" si="20"/>
        <v>Medium</v>
      </c>
    </row>
    <row r="1189" spans="1:13" x14ac:dyDescent="0.35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6</v>
      </c>
      <c r="M1189" t="str">
        <f t="shared" si="20"/>
        <v>Medium</v>
      </c>
    </row>
    <row r="1190" spans="1:13" x14ac:dyDescent="0.35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0.99538000000000004</v>
      </c>
      <c r="I1190">
        <v>3.36</v>
      </c>
      <c r="J1190">
        <v>0.7</v>
      </c>
      <c r="K1190">
        <v>10.9</v>
      </c>
      <c r="L1190">
        <v>5</v>
      </c>
      <c r="M1190" t="str">
        <f t="shared" si="20"/>
        <v>Medium</v>
      </c>
    </row>
    <row r="1191" spans="1:13" x14ac:dyDescent="0.35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4</v>
      </c>
      <c r="M1191" t="str">
        <f t="shared" si="20"/>
        <v>Low</v>
      </c>
    </row>
    <row r="1192" spans="1:13" x14ac:dyDescent="0.35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6</v>
      </c>
      <c r="M1192" t="str">
        <f t="shared" si="20"/>
        <v>Medium</v>
      </c>
    </row>
    <row r="1193" spans="1:13" x14ac:dyDescent="0.35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5</v>
      </c>
      <c r="M1193" t="str">
        <f t="shared" si="20"/>
        <v>Medium</v>
      </c>
    </row>
    <row r="1194" spans="1:13" x14ac:dyDescent="0.35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  <c r="M1194" t="str">
        <f t="shared" si="20"/>
        <v>High</v>
      </c>
    </row>
    <row r="1195" spans="1:13" x14ac:dyDescent="0.35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5</v>
      </c>
      <c r="M1195" t="str">
        <f t="shared" si="20"/>
        <v>Medium</v>
      </c>
    </row>
    <row r="1196" spans="1:13" x14ac:dyDescent="0.35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0.99587999999999999</v>
      </c>
      <c r="I1196">
        <v>3.22</v>
      </c>
      <c r="J1196">
        <v>0.59</v>
      </c>
      <c r="K1196">
        <v>9.5</v>
      </c>
      <c r="L1196">
        <v>6</v>
      </c>
      <c r="M1196" t="str">
        <f t="shared" si="20"/>
        <v>Medium</v>
      </c>
    </row>
    <row r="1197" spans="1:13" x14ac:dyDescent="0.35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0.99633000000000005</v>
      </c>
      <c r="I1197">
        <v>3.52</v>
      </c>
      <c r="J1197">
        <v>0.6</v>
      </c>
      <c r="K1197">
        <v>9.5</v>
      </c>
      <c r="L1197">
        <v>6</v>
      </c>
      <c r="M1197" t="str">
        <f t="shared" si="20"/>
        <v>Medium</v>
      </c>
    </row>
    <row r="1198" spans="1:13" x14ac:dyDescent="0.35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6</v>
      </c>
      <c r="M1198" t="str">
        <f t="shared" si="20"/>
        <v>Medium</v>
      </c>
    </row>
    <row r="1199" spans="1:13" x14ac:dyDescent="0.35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0.99458000000000002</v>
      </c>
      <c r="I1199">
        <v>3.16</v>
      </c>
      <c r="J1199">
        <v>0.54</v>
      </c>
      <c r="K1199">
        <v>9.8000000000000007</v>
      </c>
      <c r="L1199">
        <v>6</v>
      </c>
      <c r="M1199" t="str">
        <f t="shared" si="20"/>
        <v>Medium</v>
      </c>
    </row>
    <row r="1200" spans="1:13" x14ac:dyDescent="0.35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6</v>
      </c>
      <c r="M1200" t="str">
        <f t="shared" si="20"/>
        <v>Medium</v>
      </c>
    </row>
    <row r="1201" spans="1:13" x14ac:dyDescent="0.35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6</v>
      </c>
      <c r="M1201" t="str">
        <f t="shared" si="20"/>
        <v>Medium</v>
      </c>
    </row>
    <row r="1202" spans="1:13" x14ac:dyDescent="0.35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0.99458000000000002</v>
      </c>
      <c r="I1202">
        <v>3.16</v>
      </c>
      <c r="J1202">
        <v>0.54</v>
      </c>
      <c r="K1202">
        <v>9.8000000000000007</v>
      </c>
      <c r="L1202">
        <v>6</v>
      </c>
      <c r="M1202" t="str">
        <f t="shared" si="20"/>
        <v>Medium</v>
      </c>
    </row>
    <row r="1203" spans="1:13" x14ac:dyDescent="0.35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7</v>
      </c>
      <c r="M1203" t="str">
        <f t="shared" si="20"/>
        <v>High</v>
      </c>
    </row>
    <row r="1204" spans="1:13" x14ac:dyDescent="0.35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8</v>
      </c>
      <c r="M1204" t="str">
        <f t="shared" si="20"/>
        <v>High</v>
      </c>
    </row>
    <row r="1205" spans="1:13" x14ac:dyDescent="0.35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0.99878</v>
      </c>
      <c r="I1205">
        <v>3.14</v>
      </c>
      <c r="J1205">
        <v>0.55000000000000004</v>
      </c>
      <c r="K1205">
        <v>9.4</v>
      </c>
      <c r="L1205">
        <v>5</v>
      </c>
      <c r="M1205" t="str">
        <f t="shared" si="20"/>
        <v>Medium</v>
      </c>
    </row>
    <row r="1206" spans="1:13" x14ac:dyDescent="0.35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  <c r="M1206" t="str">
        <f t="shared" si="20"/>
        <v>High</v>
      </c>
    </row>
    <row r="1207" spans="1:13" x14ac:dyDescent="0.35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  <c r="M1207" t="str">
        <f t="shared" si="20"/>
        <v>High</v>
      </c>
    </row>
    <row r="1208" spans="1:13" x14ac:dyDescent="0.35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  <c r="M1208" t="str">
        <f t="shared" si="20"/>
        <v>High</v>
      </c>
    </row>
    <row r="1209" spans="1:13" x14ac:dyDescent="0.35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5</v>
      </c>
      <c r="M1209" t="str">
        <f t="shared" si="20"/>
        <v>Medium</v>
      </c>
    </row>
    <row r="1210" spans="1:13" x14ac:dyDescent="0.35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  <c r="M1210" t="str">
        <f t="shared" si="20"/>
        <v>High</v>
      </c>
    </row>
    <row r="1211" spans="1:13" x14ac:dyDescent="0.35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0.99428000000000005</v>
      </c>
      <c r="I1211">
        <v>3.45</v>
      </c>
      <c r="J1211">
        <v>0.87</v>
      </c>
      <c r="K1211">
        <v>11.2</v>
      </c>
      <c r="L1211">
        <v>7</v>
      </c>
      <c r="M1211" t="str">
        <f t="shared" si="20"/>
        <v>High</v>
      </c>
    </row>
    <row r="1212" spans="1:13" x14ac:dyDescent="0.35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6</v>
      </c>
      <c r="M1212" t="str">
        <f t="shared" si="20"/>
        <v>Medium</v>
      </c>
    </row>
    <row r="1213" spans="1:13" x14ac:dyDescent="0.35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5</v>
      </c>
      <c r="M1213" t="str">
        <f t="shared" si="20"/>
        <v>Medium</v>
      </c>
    </row>
    <row r="1214" spans="1:13" x14ac:dyDescent="0.35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6</v>
      </c>
      <c r="M1214" t="str">
        <f t="shared" si="20"/>
        <v>Medium</v>
      </c>
    </row>
    <row r="1215" spans="1:13" x14ac:dyDescent="0.35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6</v>
      </c>
      <c r="M1215" t="str">
        <f t="shared" si="20"/>
        <v>Medium</v>
      </c>
    </row>
    <row r="1216" spans="1:13" x14ac:dyDescent="0.35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0.99628000000000005</v>
      </c>
      <c r="I1216">
        <v>3.1</v>
      </c>
      <c r="J1216">
        <v>0.48</v>
      </c>
      <c r="K1216">
        <v>10.4</v>
      </c>
      <c r="L1216">
        <v>6</v>
      </c>
      <c r="M1216" t="str">
        <f t="shared" si="20"/>
        <v>Medium</v>
      </c>
    </row>
    <row r="1217" spans="1:13" x14ac:dyDescent="0.35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0.99487999999999999</v>
      </c>
      <c r="I1217">
        <v>3.26</v>
      </c>
      <c r="J1217">
        <v>0.56000000000000005</v>
      </c>
      <c r="K1217">
        <v>11.3</v>
      </c>
      <c r="L1217">
        <v>6</v>
      </c>
      <c r="M1217" t="str">
        <f t="shared" si="20"/>
        <v>Medium</v>
      </c>
    </row>
    <row r="1218" spans="1:13" x14ac:dyDescent="0.35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6</v>
      </c>
      <c r="M1218" t="str">
        <f t="shared" si="20"/>
        <v>Medium</v>
      </c>
    </row>
    <row r="1219" spans="1:13" x14ac:dyDescent="0.35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6</v>
      </c>
      <c r="M1219" t="str">
        <f t="shared" ref="M1219:M1282" si="21">IF(L1219&gt;=7,"High",IF(L1219&gt;=5,"Medium","Low"))</f>
        <v>Medium</v>
      </c>
    </row>
    <row r="1220" spans="1:13" x14ac:dyDescent="0.35">
      <c r="A1220">
        <v>8.1999999999999993</v>
      </c>
      <c r="B1220">
        <v>0.4</v>
      </c>
      <c r="C1220">
        <v>0.31</v>
      </c>
      <c r="D1220">
        <v>1.9</v>
      </c>
      <c r="E1220">
        <v>8.2000000000000003E-2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  <c r="M1220" t="str">
        <f t="shared" si="21"/>
        <v>Medium</v>
      </c>
    </row>
    <row r="1221" spans="1:13" x14ac:dyDescent="0.35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0.99478</v>
      </c>
      <c r="I1221">
        <v>3.2</v>
      </c>
      <c r="J1221">
        <v>0.83</v>
      </c>
      <c r="K1221">
        <v>10.9</v>
      </c>
      <c r="L1221">
        <v>6</v>
      </c>
      <c r="M1221" t="str">
        <f t="shared" si="21"/>
        <v>Medium</v>
      </c>
    </row>
    <row r="1222" spans="1:13" x14ac:dyDescent="0.35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  <c r="M1222" t="str">
        <f t="shared" si="21"/>
        <v>Medium</v>
      </c>
    </row>
    <row r="1223" spans="1:13" x14ac:dyDescent="0.35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  <c r="M1223" t="str">
        <f t="shared" si="21"/>
        <v>Medium</v>
      </c>
    </row>
    <row r="1224" spans="1:13" x14ac:dyDescent="0.35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0.99678</v>
      </c>
      <c r="I1224">
        <v>3.26</v>
      </c>
      <c r="J1224">
        <v>0.46</v>
      </c>
      <c r="K1224">
        <v>9.6</v>
      </c>
      <c r="L1224">
        <v>6</v>
      </c>
      <c r="M1224" t="str">
        <f t="shared" si="21"/>
        <v>Medium</v>
      </c>
    </row>
    <row r="1225" spans="1:13" x14ac:dyDescent="0.35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0.99638000000000004</v>
      </c>
      <c r="I1225">
        <v>3.23</v>
      </c>
      <c r="J1225">
        <v>0.76</v>
      </c>
      <c r="K1225">
        <v>12</v>
      </c>
      <c r="L1225">
        <v>6</v>
      </c>
      <c r="M1225" t="str">
        <f t="shared" si="21"/>
        <v>Medium</v>
      </c>
    </row>
    <row r="1226" spans="1:13" x14ac:dyDescent="0.35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6</v>
      </c>
      <c r="M1226" t="str">
        <f t="shared" si="21"/>
        <v>Medium</v>
      </c>
    </row>
    <row r="1227" spans="1:13" x14ac:dyDescent="0.35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  <c r="M1227" t="str">
        <f t="shared" si="21"/>
        <v>Medium</v>
      </c>
    </row>
    <row r="1228" spans="1:13" x14ac:dyDescent="0.35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5</v>
      </c>
      <c r="M1228" t="str">
        <f t="shared" si="21"/>
        <v>Medium</v>
      </c>
    </row>
    <row r="1229" spans="1:13" x14ac:dyDescent="0.35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5</v>
      </c>
      <c r="M1229" t="str">
        <f t="shared" si="21"/>
        <v>Medium</v>
      </c>
    </row>
    <row r="1230" spans="1:13" x14ac:dyDescent="0.35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7</v>
      </c>
      <c r="M1230" t="str">
        <f t="shared" si="21"/>
        <v>High</v>
      </c>
    </row>
    <row r="1231" spans="1:13" x14ac:dyDescent="0.35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5</v>
      </c>
      <c r="M1231" t="str">
        <f t="shared" si="21"/>
        <v>Medium</v>
      </c>
    </row>
    <row r="1232" spans="1:13" x14ac:dyDescent="0.35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6</v>
      </c>
      <c r="M1232" t="str">
        <f t="shared" si="21"/>
        <v>Medium</v>
      </c>
    </row>
    <row r="1233" spans="1:13" x14ac:dyDescent="0.35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5</v>
      </c>
      <c r="M1233" t="str">
        <f t="shared" si="21"/>
        <v>Medium</v>
      </c>
    </row>
    <row r="1234" spans="1:13" x14ac:dyDescent="0.35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5</v>
      </c>
      <c r="M1234" t="str">
        <f t="shared" si="21"/>
        <v>Medium</v>
      </c>
    </row>
    <row r="1235" spans="1:13" x14ac:dyDescent="0.35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0.99614000000000003</v>
      </c>
      <c r="I1235">
        <v>3.23</v>
      </c>
      <c r="J1235">
        <v>0.49</v>
      </c>
      <c r="K1235">
        <v>9.3000000000000007</v>
      </c>
      <c r="L1235">
        <v>4</v>
      </c>
      <c r="M1235" t="str">
        <f t="shared" si="21"/>
        <v>Low</v>
      </c>
    </row>
    <row r="1236" spans="1:13" x14ac:dyDescent="0.35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6</v>
      </c>
      <c r="M1236" t="str">
        <f t="shared" si="21"/>
        <v>Medium</v>
      </c>
    </row>
    <row r="1237" spans="1:13" x14ac:dyDescent="0.35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4</v>
      </c>
      <c r="M1237" t="str">
        <f t="shared" si="21"/>
        <v>Low</v>
      </c>
    </row>
    <row r="1238" spans="1:13" x14ac:dyDescent="0.35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6</v>
      </c>
      <c r="M1238" t="str">
        <f t="shared" si="21"/>
        <v>Medium</v>
      </c>
    </row>
    <row r="1239" spans="1:13" x14ac:dyDescent="0.35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6</v>
      </c>
      <c r="M1239" t="str">
        <f t="shared" si="21"/>
        <v>Medium</v>
      </c>
    </row>
    <row r="1240" spans="1:13" x14ac:dyDescent="0.35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4</v>
      </c>
      <c r="M1240" t="str">
        <f t="shared" si="21"/>
        <v>Low</v>
      </c>
    </row>
    <row r="1241" spans="1:13" x14ac:dyDescent="0.35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0.99487999999999999</v>
      </c>
      <c r="I1241">
        <v>3.45</v>
      </c>
      <c r="J1241">
        <v>0.56000000000000005</v>
      </c>
      <c r="K1241">
        <v>11.8</v>
      </c>
      <c r="L1241">
        <v>4</v>
      </c>
      <c r="M1241" t="str">
        <f t="shared" si="21"/>
        <v>Low</v>
      </c>
    </row>
    <row r="1242" spans="1:13" x14ac:dyDescent="0.35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0.99494000000000005</v>
      </c>
      <c r="I1242">
        <v>3.1</v>
      </c>
      <c r="J1242">
        <v>0.4</v>
      </c>
      <c r="K1242">
        <v>9.3000000000000007</v>
      </c>
      <c r="L1242">
        <v>5</v>
      </c>
      <c r="M1242" t="str">
        <f t="shared" si="21"/>
        <v>Medium</v>
      </c>
    </row>
    <row r="1243" spans="1:13" x14ac:dyDescent="0.35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5</v>
      </c>
      <c r="M1243" t="str">
        <f t="shared" si="21"/>
        <v>Medium</v>
      </c>
    </row>
    <row r="1244" spans="1:13" x14ac:dyDescent="0.35">
      <c r="A1244">
        <v>9</v>
      </c>
      <c r="B1244">
        <v>0.4</v>
      </c>
      <c r="C1244">
        <v>0.41</v>
      </c>
      <c r="D1244">
        <v>2</v>
      </c>
      <c r="E1244">
        <v>5.8000000000000003E-2</v>
      </c>
      <c r="F1244">
        <v>15</v>
      </c>
      <c r="G1244">
        <v>40</v>
      </c>
      <c r="H1244">
        <v>0.99414000000000002</v>
      </c>
      <c r="I1244">
        <v>3.22</v>
      </c>
      <c r="J1244">
        <v>0.6</v>
      </c>
      <c r="K1244">
        <v>12.2</v>
      </c>
      <c r="L1244">
        <v>6</v>
      </c>
      <c r="M1244" t="str">
        <f t="shared" si="21"/>
        <v>Medium</v>
      </c>
    </row>
    <row r="1245" spans="1:13" x14ac:dyDescent="0.35">
      <c r="A1245">
        <v>8.3000000000000007</v>
      </c>
      <c r="B1245">
        <v>0.56000000000000005</v>
      </c>
      <c r="C1245">
        <v>0.22</v>
      </c>
      <c r="D1245">
        <v>2.4</v>
      </c>
      <c r="E1245">
        <v>8.2000000000000003E-2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5</v>
      </c>
      <c r="M1245" t="str">
        <f t="shared" si="21"/>
        <v>Medium</v>
      </c>
    </row>
    <row r="1246" spans="1:13" x14ac:dyDescent="0.35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6</v>
      </c>
      <c r="M1246" t="str">
        <f t="shared" si="21"/>
        <v>Medium</v>
      </c>
    </row>
    <row r="1247" spans="1:13" x14ac:dyDescent="0.35">
      <c r="A1247">
        <v>7.4</v>
      </c>
      <c r="B1247">
        <v>0.55000000000000004</v>
      </c>
      <c r="C1247">
        <v>0.19</v>
      </c>
      <c r="D1247">
        <v>1.8</v>
      </c>
      <c r="E1247">
        <v>8.2000000000000003E-2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5</v>
      </c>
      <c r="M1247" t="str">
        <f t="shared" si="21"/>
        <v>Medium</v>
      </c>
    </row>
    <row r="1248" spans="1:13" x14ac:dyDescent="0.35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5</v>
      </c>
      <c r="M1248" t="str">
        <f t="shared" si="21"/>
        <v>Medium</v>
      </c>
    </row>
    <row r="1249" spans="1:13" x14ac:dyDescent="0.35">
      <c r="A1249">
        <v>7.4</v>
      </c>
      <c r="B1249">
        <v>0.55000000000000004</v>
      </c>
      <c r="C1249">
        <v>0.19</v>
      </c>
      <c r="D1249">
        <v>1.8</v>
      </c>
      <c r="E1249">
        <v>8.2000000000000003E-2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5</v>
      </c>
      <c r="M1249" t="str">
        <f t="shared" si="21"/>
        <v>Medium</v>
      </c>
    </row>
    <row r="1250" spans="1:13" x14ac:dyDescent="0.35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6</v>
      </c>
      <c r="M1250" t="str">
        <f t="shared" si="21"/>
        <v>Medium</v>
      </c>
    </row>
    <row r="1251" spans="1:13" x14ac:dyDescent="0.35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0.99514000000000002</v>
      </c>
      <c r="I1251">
        <v>3.4</v>
      </c>
      <c r="J1251">
        <v>0.61</v>
      </c>
      <c r="K1251">
        <v>10.9</v>
      </c>
      <c r="L1251">
        <v>6</v>
      </c>
      <c r="M1251" t="str">
        <f t="shared" si="21"/>
        <v>Medium</v>
      </c>
    </row>
    <row r="1252" spans="1:13" x14ac:dyDescent="0.35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0.99514000000000002</v>
      </c>
      <c r="I1252">
        <v>3.4</v>
      </c>
      <c r="J1252">
        <v>0.61</v>
      </c>
      <c r="K1252">
        <v>10.9</v>
      </c>
      <c r="L1252">
        <v>6</v>
      </c>
      <c r="M1252" t="str">
        <f t="shared" si="21"/>
        <v>Medium</v>
      </c>
    </row>
    <row r="1253" spans="1:13" x14ac:dyDescent="0.35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5</v>
      </c>
      <c r="M1253" t="str">
        <f t="shared" si="21"/>
        <v>Medium</v>
      </c>
    </row>
    <row r="1254" spans="1:13" x14ac:dyDescent="0.35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5</v>
      </c>
      <c r="M1254" t="str">
        <f t="shared" si="21"/>
        <v>Medium</v>
      </c>
    </row>
    <row r="1255" spans="1:13" x14ac:dyDescent="0.35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5</v>
      </c>
      <c r="M1255" t="str">
        <f t="shared" si="21"/>
        <v>Medium</v>
      </c>
    </row>
    <row r="1256" spans="1:13" x14ac:dyDescent="0.35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0.99628000000000005</v>
      </c>
      <c r="I1256">
        <v>3.4</v>
      </c>
      <c r="J1256">
        <v>0.69</v>
      </c>
      <c r="K1256">
        <v>10.9</v>
      </c>
      <c r="L1256">
        <v>5</v>
      </c>
      <c r="M1256" t="str">
        <f t="shared" si="21"/>
        <v>Medium</v>
      </c>
    </row>
    <row r="1257" spans="1:13" x14ac:dyDescent="0.35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0.99358000000000002</v>
      </c>
      <c r="I1257">
        <v>3.47</v>
      </c>
      <c r="J1257">
        <v>0.45</v>
      </c>
      <c r="K1257">
        <v>11</v>
      </c>
      <c r="L1257">
        <v>5</v>
      </c>
      <c r="M1257" t="str">
        <f t="shared" si="21"/>
        <v>Medium</v>
      </c>
    </row>
    <row r="1258" spans="1:13" x14ac:dyDescent="0.35">
      <c r="A1258">
        <v>7.5</v>
      </c>
      <c r="B1258">
        <v>0.59</v>
      </c>
      <c r="C1258">
        <v>0.22</v>
      </c>
      <c r="D1258">
        <v>1.8</v>
      </c>
      <c r="E1258">
        <v>8.2000000000000003E-2</v>
      </c>
      <c r="F1258">
        <v>43</v>
      </c>
      <c r="G1258">
        <v>60</v>
      </c>
      <c r="H1258">
        <v>0.99499000000000004</v>
      </c>
      <c r="I1258">
        <v>3.1</v>
      </c>
      <c r="J1258">
        <v>0.42</v>
      </c>
      <c r="K1258">
        <v>9.1999999999999993</v>
      </c>
      <c r="L1258">
        <v>5</v>
      </c>
      <c r="M1258" t="str">
        <f t="shared" si="21"/>
        <v>Medium</v>
      </c>
    </row>
    <row r="1259" spans="1:13" x14ac:dyDescent="0.35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0.99633000000000005</v>
      </c>
      <c r="I1259">
        <v>3.32</v>
      </c>
      <c r="J1259">
        <v>0.7</v>
      </c>
      <c r="K1259">
        <v>11</v>
      </c>
      <c r="L1259">
        <v>6</v>
      </c>
      <c r="M1259" t="str">
        <f t="shared" si="21"/>
        <v>Medium</v>
      </c>
    </row>
    <row r="1260" spans="1:13" x14ac:dyDescent="0.35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0.99538000000000004</v>
      </c>
      <c r="I1260">
        <v>3.44</v>
      </c>
      <c r="J1260">
        <v>0.63</v>
      </c>
      <c r="K1260">
        <v>11.3</v>
      </c>
      <c r="L1260">
        <v>6</v>
      </c>
      <c r="M1260" t="str">
        <f t="shared" si="21"/>
        <v>Medium</v>
      </c>
    </row>
    <row r="1261" spans="1:13" x14ac:dyDescent="0.35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0.99538000000000004</v>
      </c>
      <c r="I1261">
        <v>3.44</v>
      </c>
      <c r="J1261">
        <v>0.63</v>
      </c>
      <c r="K1261">
        <v>11.3</v>
      </c>
      <c r="L1261">
        <v>6</v>
      </c>
      <c r="M1261" t="str">
        <f t="shared" si="21"/>
        <v>Medium</v>
      </c>
    </row>
    <row r="1262" spans="1:13" x14ac:dyDescent="0.35">
      <c r="A1262">
        <v>8.6</v>
      </c>
      <c r="B1262">
        <v>0.63500000000000001</v>
      </c>
      <c r="C1262">
        <v>0.68</v>
      </c>
      <c r="D1262">
        <v>1.8</v>
      </c>
      <c r="E1262">
        <v>0.40300000000000002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5</v>
      </c>
      <c r="M1262" t="str">
        <f t="shared" si="21"/>
        <v>Medium</v>
      </c>
    </row>
    <row r="1263" spans="1:13" x14ac:dyDescent="0.35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4</v>
      </c>
      <c r="M1263" t="str">
        <f t="shared" si="21"/>
        <v>Low</v>
      </c>
    </row>
    <row r="1264" spans="1:13" x14ac:dyDescent="0.35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5</v>
      </c>
      <c r="M1264" t="str">
        <f t="shared" si="21"/>
        <v>Medium</v>
      </c>
    </row>
    <row r="1265" spans="1:13" x14ac:dyDescent="0.35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4</v>
      </c>
      <c r="M1265" t="str">
        <f t="shared" si="21"/>
        <v>Low</v>
      </c>
    </row>
    <row r="1266" spans="1:13" x14ac:dyDescent="0.35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  <c r="M1266" t="str">
        <f t="shared" si="21"/>
        <v>Medium</v>
      </c>
    </row>
    <row r="1267" spans="1:13" x14ac:dyDescent="0.35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6</v>
      </c>
      <c r="M1267" t="str">
        <f t="shared" si="21"/>
        <v>Medium</v>
      </c>
    </row>
    <row r="1268" spans="1:13" x14ac:dyDescent="0.35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6</v>
      </c>
      <c r="M1268" t="str">
        <f t="shared" si="21"/>
        <v>Medium</v>
      </c>
    </row>
    <row r="1269" spans="1:13" x14ac:dyDescent="0.35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  <c r="M1269" t="str">
        <f t="shared" si="21"/>
        <v>Medium</v>
      </c>
    </row>
    <row r="1270" spans="1:13" x14ac:dyDescent="0.35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0.99668000000000001</v>
      </c>
      <c r="I1270">
        <v>3.47</v>
      </c>
      <c r="J1270">
        <v>0.55000000000000004</v>
      </c>
      <c r="K1270">
        <v>9.5</v>
      </c>
      <c r="L1270">
        <v>6</v>
      </c>
      <c r="M1270" t="str">
        <f t="shared" si="21"/>
        <v>Medium</v>
      </c>
    </row>
    <row r="1271" spans="1:13" x14ac:dyDescent="0.35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8</v>
      </c>
      <c r="M1271" t="str">
        <f t="shared" si="21"/>
        <v>High</v>
      </c>
    </row>
    <row r="1272" spans="1:13" x14ac:dyDescent="0.35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0.99084000000000005</v>
      </c>
      <c r="I1272">
        <v>3.7</v>
      </c>
      <c r="J1272">
        <v>0.75</v>
      </c>
      <c r="K1272">
        <v>14</v>
      </c>
      <c r="L1272">
        <v>6</v>
      </c>
      <c r="M1272" t="str">
        <f t="shared" si="21"/>
        <v>Medium</v>
      </c>
    </row>
    <row r="1273" spans="1:13" x14ac:dyDescent="0.35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6</v>
      </c>
      <c r="M1273" t="str">
        <f t="shared" si="21"/>
        <v>Medium</v>
      </c>
    </row>
    <row r="1274" spans="1:13" x14ac:dyDescent="0.35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5</v>
      </c>
      <c r="M1274" t="str">
        <f t="shared" si="21"/>
        <v>Medium</v>
      </c>
    </row>
    <row r="1275" spans="1:13" x14ac:dyDescent="0.35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0.99494000000000005</v>
      </c>
      <c r="I1275">
        <v>3.1</v>
      </c>
      <c r="J1275">
        <v>0.43</v>
      </c>
      <c r="K1275">
        <v>9.3000000000000007</v>
      </c>
      <c r="L1275">
        <v>5</v>
      </c>
      <c r="M1275" t="str">
        <f t="shared" si="21"/>
        <v>Medium</v>
      </c>
    </row>
    <row r="1276" spans="1:13" x14ac:dyDescent="0.35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6</v>
      </c>
      <c r="M1276" t="str">
        <f t="shared" si="21"/>
        <v>Medium</v>
      </c>
    </row>
    <row r="1277" spans="1:13" x14ac:dyDescent="0.35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0.99687999999999999</v>
      </c>
      <c r="I1277">
        <v>3.24</v>
      </c>
      <c r="J1277">
        <v>0.54</v>
      </c>
      <c r="K1277">
        <v>9.5</v>
      </c>
      <c r="L1277">
        <v>6</v>
      </c>
      <c r="M1277" t="str">
        <f t="shared" si="21"/>
        <v>Medium</v>
      </c>
    </row>
    <row r="1278" spans="1:13" x14ac:dyDescent="0.35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4</v>
      </c>
      <c r="M1278" t="str">
        <f t="shared" si="21"/>
        <v>Low</v>
      </c>
    </row>
    <row r="1279" spans="1:13" x14ac:dyDescent="0.35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6</v>
      </c>
      <c r="M1279" t="str">
        <f t="shared" si="21"/>
        <v>Medium</v>
      </c>
    </row>
    <row r="1280" spans="1:13" x14ac:dyDescent="0.35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0.99687999999999999</v>
      </c>
      <c r="I1280">
        <v>3.24</v>
      </c>
      <c r="J1280">
        <v>0.54</v>
      </c>
      <c r="K1280">
        <v>9.5</v>
      </c>
      <c r="L1280">
        <v>6</v>
      </c>
      <c r="M1280" t="str">
        <f t="shared" si="21"/>
        <v>Medium</v>
      </c>
    </row>
    <row r="1281" spans="1:13" x14ac:dyDescent="0.35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7</v>
      </c>
      <c r="M1281" t="str">
        <f t="shared" si="21"/>
        <v>High</v>
      </c>
    </row>
    <row r="1282" spans="1:13" x14ac:dyDescent="0.35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6</v>
      </c>
      <c r="M1282" t="str">
        <f t="shared" si="21"/>
        <v>Medium</v>
      </c>
    </row>
    <row r="1283" spans="1:13" x14ac:dyDescent="0.35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6</v>
      </c>
      <c r="M1283" t="str">
        <f t="shared" ref="M1283:M1346" si="22">IF(L1283&gt;=7,"High",IF(L1283&gt;=5,"Medium","Low"))</f>
        <v>Medium</v>
      </c>
    </row>
    <row r="1284" spans="1:13" x14ac:dyDescent="0.35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0.99619000000000002</v>
      </c>
      <c r="I1284">
        <v>3.33</v>
      </c>
      <c r="J1284">
        <v>0.68</v>
      </c>
      <c r="K1284">
        <v>10.9</v>
      </c>
      <c r="L1284">
        <v>6</v>
      </c>
      <c r="M1284" t="str">
        <f t="shared" si="22"/>
        <v>Medium</v>
      </c>
    </row>
    <row r="1285" spans="1:13" x14ac:dyDescent="0.35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6</v>
      </c>
      <c r="M1285" t="str">
        <f t="shared" si="22"/>
        <v>Medium</v>
      </c>
    </row>
    <row r="1286" spans="1:13" x14ac:dyDescent="0.35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5</v>
      </c>
      <c r="M1286" t="str">
        <f t="shared" si="22"/>
        <v>Medium</v>
      </c>
    </row>
    <row r="1287" spans="1:13" x14ac:dyDescent="0.35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5</v>
      </c>
      <c r="M1287" t="str">
        <f t="shared" si="22"/>
        <v>Medium</v>
      </c>
    </row>
    <row r="1288" spans="1:13" x14ac:dyDescent="0.35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0.99328000000000005</v>
      </c>
      <c r="I1288">
        <v>3.35</v>
      </c>
      <c r="J1288">
        <v>0.54</v>
      </c>
      <c r="K1288">
        <v>12.4</v>
      </c>
      <c r="L1288">
        <v>6</v>
      </c>
      <c r="M1288" t="str">
        <f t="shared" si="22"/>
        <v>Medium</v>
      </c>
    </row>
    <row r="1289" spans="1:13" x14ac:dyDescent="0.35">
      <c r="A1289">
        <v>8</v>
      </c>
      <c r="B1289">
        <v>0.6</v>
      </c>
      <c r="C1289">
        <v>0.08</v>
      </c>
      <c r="D1289">
        <v>2.6</v>
      </c>
      <c r="E1289">
        <v>5.6000000000000001E-2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5</v>
      </c>
      <c r="M1289" t="str">
        <f t="shared" si="22"/>
        <v>Medium</v>
      </c>
    </row>
    <row r="1290" spans="1:13" x14ac:dyDescent="0.35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0.99914000000000003</v>
      </c>
      <c r="I1290">
        <v>3.3</v>
      </c>
      <c r="J1290">
        <v>1.17</v>
      </c>
      <c r="K1290">
        <v>10.199999999999999</v>
      </c>
      <c r="L1290">
        <v>5</v>
      </c>
      <c r="M1290" t="str">
        <f t="shared" si="22"/>
        <v>Medium</v>
      </c>
    </row>
    <row r="1291" spans="1:13" x14ac:dyDescent="0.35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0.99914000000000003</v>
      </c>
      <c r="I1291">
        <v>3.3</v>
      </c>
      <c r="J1291">
        <v>1.17</v>
      </c>
      <c r="K1291">
        <v>10.199999999999999</v>
      </c>
      <c r="L1291">
        <v>5</v>
      </c>
      <c r="M1291" t="str">
        <f t="shared" si="22"/>
        <v>Medium</v>
      </c>
    </row>
    <row r="1292" spans="1:13" x14ac:dyDescent="0.35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5</v>
      </c>
      <c r="M1292" t="str">
        <f t="shared" si="22"/>
        <v>Medium</v>
      </c>
    </row>
    <row r="1293" spans="1:13" x14ac:dyDescent="0.35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0.99638000000000004</v>
      </c>
      <c r="I1293">
        <v>3.29</v>
      </c>
      <c r="J1293">
        <v>0.75</v>
      </c>
      <c r="K1293">
        <v>10.9</v>
      </c>
      <c r="L1293">
        <v>6</v>
      </c>
      <c r="M1293" t="str">
        <f t="shared" si="22"/>
        <v>Medium</v>
      </c>
    </row>
    <row r="1294" spans="1:13" x14ac:dyDescent="0.35">
      <c r="A1294">
        <v>5.9</v>
      </c>
      <c r="B1294">
        <v>0.39500000000000002</v>
      </c>
      <c r="C1294">
        <v>0.13</v>
      </c>
      <c r="D1294">
        <v>2.4</v>
      </c>
      <c r="E1294">
        <v>5.6000000000000001E-2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6</v>
      </c>
      <c r="M1294" t="str">
        <f t="shared" si="22"/>
        <v>Medium</v>
      </c>
    </row>
    <row r="1295" spans="1:13" x14ac:dyDescent="0.35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4</v>
      </c>
      <c r="M1295" t="str">
        <f t="shared" si="22"/>
        <v>Low</v>
      </c>
    </row>
    <row r="1296" spans="1:13" x14ac:dyDescent="0.35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0.99638000000000004</v>
      </c>
      <c r="I1296">
        <v>3.29</v>
      </c>
      <c r="J1296">
        <v>0.75</v>
      </c>
      <c r="K1296">
        <v>10.9</v>
      </c>
      <c r="L1296">
        <v>6</v>
      </c>
      <c r="M1296" t="str">
        <f t="shared" si="22"/>
        <v>Medium</v>
      </c>
    </row>
    <row r="1297" spans="1:13" x14ac:dyDescent="0.35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77.5</v>
      </c>
      <c r="H1297">
        <v>0.99558000000000002</v>
      </c>
      <c r="I1297">
        <v>3.2</v>
      </c>
      <c r="J1297">
        <v>0.45</v>
      </c>
      <c r="K1297">
        <v>9.5</v>
      </c>
      <c r="L1297">
        <v>5</v>
      </c>
      <c r="M1297" t="str">
        <f t="shared" si="22"/>
        <v>Medium</v>
      </c>
    </row>
    <row r="1298" spans="1:13" x14ac:dyDescent="0.35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77.5</v>
      </c>
      <c r="H1298">
        <v>0.99558000000000002</v>
      </c>
      <c r="I1298">
        <v>3.2</v>
      </c>
      <c r="J1298">
        <v>0.45</v>
      </c>
      <c r="K1298">
        <v>9.5</v>
      </c>
      <c r="L1298">
        <v>5</v>
      </c>
      <c r="M1298" t="str">
        <f t="shared" si="22"/>
        <v>Medium</v>
      </c>
    </row>
    <row r="1299" spans="1:13" x14ac:dyDescent="0.35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6</v>
      </c>
      <c r="M1299" t="str">
        <f t="shared" si="22"/>
        <v>Medium</v>
      </c>
    </row>
    <row r="1300" spans="1:13" x14ac:dyDescent="0.35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6</v>
      </c>
      <c r="M1300" t="str">
        <f t="shared" si="22"/>
        <v>Medium</v>
      </c>
    </row>
    <row r="1301" spans="1:13" x14ac:dyDescent="0.35">
      <c r="A1301">
        <v>7.6</v>
      </c>
      <c r="B1301">
        <v>1.58</v>
      </c>
      <c r="C1301">
        <v>0</v>
      </c>
      <c r="D1301">
        <v>2.1</v>
      </c>
      <c r="E1301">
        <v>0.13700000000000001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3</v>
      </c>
      <c r="M1301" t="str">
        <f t="shared" si="22"/>
        <v>Low</v>
      </c>
    </row>
    <row r="1302" spans="1:13" x14ac:dyDescent="0.35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6</v>
      </c>
      <c r="M1302" t="str">
        <f t="shared" si="22"/>
        <v>Medium</v>
      </c>
    </row>
    <row r="1303" spans="1:13" x14ac:dyDescent="0.35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6</v>
      </c>
      <c r="M1303" t="str">
        <f t="shared" si="22"/>
        <v>Medium</v>
      </c>
    </row>
    <row r="1304" spans="1:13" x14ac:dyDescent="0.35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6</v>
      </c>
      <c r="M1304" t="str">
        <f t="shared" si="22"/>
        <v>Medium</v>
      </c>
    </row>
    <row r="1305" spans="1:13" x14ac:dyDescent="0.35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5</v>
      </c>
      <c r="M1305" t="str">
        <f t="shared" si="22"/>
        <v>Medium</v>
      </c>
    </row>
    <row r="1306" spans="1:13" x14ac:dyDescent="0.35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5</v>
      </c>
      <c r="M1306" t="str">
        <f t="shared" si="22"/>
        <v>Medium</v>
      </c>
    </row>
    <row r="1307" spans="1:13" x14ac:dyDescent="0.35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5</v>
      </c>
      <c r="M1307" t="str">
        <f t="shared" si="22"/>
        <v>Medium</v>
      </c>
    </row>
    <row r="1308" spans="1:13" x14ac:dyDescent="0.35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5</v>
      </c>
      <c r="M1308" t="str">
        <f t="shared" si="22"/>
        <v>Medium</v>
      </c>
    </row>
    <row r="1309" spans="1:13" x14ac:dyDescent="0.35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4</v>
      </c>
      <c r="M1309" t="str">
        <f t="shared" si="22"/>
        <v>Low</v>
      </c>
    </row>
    <row r="1310" spans="1:13" x14ac:dyDescent="0.35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5</v>
      </c>
      <c r="M1310" t="str">
        <f t="shared" si="22"/>
        <v>Medium</v>
      </c>
    </row>
    <row r="1311" spans="1:13" x14ac:dyDescent="0.35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5</v>
      </c>
      <c r="M1311" t="str">
        <f t="shared" si="22"/>
        <v>Medium</v>
      </c>
    </row>
    <row r="1312" spans="1:13" x14ac:dyDescent="0.35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5</v>
      </c>
      <c r="M1312" t="str">
        <f t="shared" si="22"/>
        <v>Medium</v>
      </c>
    </row>
    <row r="1313" spans="1:13" x14ac:dyDescent="0.35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  <c r="M1313" t="str">
        <f t="shared" si="22"/>
        <v>Medium</v>
      </c>
    </row>
    <row r="1314" spans="1:13" x14ac:dyDescent="0.35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5</v>
      </c>
      <c r="M1314" t="str">
        <f t="shared" si="22"/>
        <v>Medium</v>
      </c>
    </row>
    <row r="1315" spans="1:13" x14ac:dyDescent="0.35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0.99558000000000002</v>
      </c>
      <c r="I1315">
        <v>3.4</v>
      </c>
      <c r="J1315">
        <v>0.54</v>
      </c>
      <c r="K1315">
        <v>10.1</v>
      </c>
      <c r="L1315">
        <v>6</v>
      </c>
      <c r="M1315" t="str">
        <f t="shared" si="22"/>
        <v>Medium</v>
      </c>
    </row>
    <row r="1316" spans="1:13" x14ac:dyDescent="0.35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  <c r="M1316" t="str">
        <f t="shared" si="22"/>
        <v>Medium</v>
      </c>
    </row>
    <row r="1317" spans="1:13" x14ac:dyDescent="0.35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6</v>
      </c>
      <c r="M1317" t="str">
        <f t="shared" si="22"/>
        <v>Medium</v>
      </c>
    </row>
    <row r="1318" spans="1:13" x14ac:dyDescent="0.35">
      <c r="A1318">
        <v>5.4</v>
      </c>
      <c r="B1318">
        <v>0.74</v>
      </c>
      <c r="C1318">
        <v>0</v>
      </c>
      <c r="D1318">
        <v>1.2</v>
      </c>
      <c r="E1318">
        <v>4.1000000000000002E-2</v>
      </c>
      <c r="F1318">
        <v>16</v>
      </c>
      <c r="G1318">
        <v>46</v>
      </c>
      <c r="H1318">
        <v>0.99258000000000002</v>
      </c>
      <c r="I1318">
        <v>4.01</v>
      </c>
      <c r="J1318">
        <v>0.59</v>
      </c>
      <c r="K1318">
        <v>12.5</v>
      </c>
      <c r="L1318">
        <v>6</v>
      </c>
      <c r="M1318" t="str">
        <f t="shared" si="22"/>
        <v>Medium</v>
      </c>
    </row>
    <row r="1319" spans="1:13" x14ac:dyDescent="0.35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0.99638000000000004</v>
      </c>
      <c r="I1319">
        <v>3.18</v>
      </c>
      <c r="J1319">
        <v>0.69</v>
      </c>
      <c r="K1319">
        <v>11.9</v>
      </c>
      <c r="L1319">
        <v>6</v>
      </c>
      <c r="M1319" t="str">
        <f t="shared" si="22"/>
        <v>Medium</v>
      </c>
    </row>
    <row r="1320" spans="1:13" x14ac:dyDescent="0.35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6</v>
      </c>
      <c r="M1320" t="str">
        <f t="shared" si="22"/>
        <v>Medium</v>
      </c>
    </row>
    <row r="1321" spans="1:13" x14ac:dyDescent="0.35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6</v>
      </c>
      <c r="M1321" t="str">
        <f t="shared" si="22"/>
        <v>Medium</v>
      </c>
    </row>
    <row r="1322" spans="1:13" x14ac:dyDescent="0.35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5</v>
      </c>
      <c r="M1322" t="str">
        <f t="shared" si="22"/>
        <v>Medium</v>
      </c>
    </row>
    <row r="1323" spans="1:13" x14ac:dyDescent="0.35">
      <c r="A1323">
        <v>5</v>
      </c>
      <c r="B1323">
        <v>0.74</v>
      </c>
      <c r="C1323">
        <v>0</v>
      </c>
      <c r="D1323">
        <v>1.2</v>
      </c>
      <c r="E1323">
        <v>4.1000000000000002E-2</v>
      </c>
      <c r="F1323">
        <v>16</v>
      </c>
      <c r="G1323">
        <v>46</v>
      </c>
      <c r="H1323">
        <v>0.99258000000000002</v>
      </c>
      <c r="I1323">
        <v>4.01</v>
      </c>
      <c r="J1323">
        <v>0.59</v>
      </c>
      <c r="K1323">
        <v>12.5</v>
      </c>
      <c r="L1323">
        <v>6</v>
      </c>
      <c r="M1323" t="str">
        <f t="shared" si="22"/>
        <v>Medium</v>
      </c>
    </row>
    <row r="1324" spans="1:13" x14ac:dyDescent="0.35">
      <c r="A1324">
        <v>9.1</v>
      </c>
      <c r="B1324">
        <v>0.34</v>
      </c>
      <c r="C1324">
        <v>0.42</v>
      </c>
      <c r="D1324">
        <v>1.8</v>
      </c>
      <c r="E1324">
        <v>5.8000000000000003E-2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5</v>
      </c>
      <c r="M1324" t="str">
        <f t="shared" si="22"/>
        <v>Medium</v>
      </c>
    </row>
    <row r="1325" spans="1:13" x14ac:dyDescent="0.35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  <c r="M1325" t="str">
        <f t="shared" si="22"/>
        <v>High</v>
      </c>
    </row>
    <row r="1326" spans="1:13" x14ac:dyDescent="0.35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6</v>
      </c>
      <c r="M1326" t="str">
        <f t="shared" si="22"/>
        <v>Medium</v>
      </c>
    </row>
    <row r="1327" spans="1:13" x14ac:dyDescent="0.35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6</v>
      </c>
      <c r="M1327" t="str">
        <f t="shared" si="22"/>
        <v>Medium</v>
      </c>
    </row>
    <row r="1328" spans="1:13" x14ac:dyDescent="0.35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6</v>
      </c>
      <c r="M1328" t="str">
        <f t="shared" si="22"/>
        <v>Medium</v>
      </c>
    </row>
    <row r="1329" spans="1:13" x14ac:dyDescent="0.35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6</v>
      </c>
      <c r="M1329" t="str">
        <f t="shared" si="22"/>
        <v>Medium</v>
      </c>
    </row>
    <row r="1330" spans="1:13" x14ac:dyDescent="0.35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5</v>
      </c>
      <c r="M1330" t="str">
        <f t="shared" si="22"/>
        <v>Medium</v>
      </c>
    </row>
    <row r="1331" spans="1:13" x14ac:dyDescent="0.35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6</v>
      </c>
      <c r="M1331" t="str">
        <f t="shared" si="22"/>
        <v>Medium</v>
      </c>
    </row>
    <row r="1332" spans="1:13" x14ac:dyDescent="0.35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6</v>
      </c>
      <c r="M1332" t="str">
        <f t="shared" si="22"/>
        <v>Medium</v>
      </c>
    </row>
    <row r="1333" spans="1:13" x14ac:dyDescent="0.35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0.99668000000000001</v>
      </c>
      <c r="I1333">
        <v>3.26</v>
      </c>
      <c r="J1333">
        <v>0.46</v>
      </c>
      <c r="K1333">
        <v>9.1999999999999993</v>
      </c>
      <c r="L1333">
        <v>5</v>
      </c>
      <c r="M1333" t="str">
        <f t="shared" si="22"/>
        <v>Medium</v>
      </c>
    </row>
    <row r="1334" spans="1:13" x14ac:dyDescent="0.35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6</v>
      </c>
      <c r="M1334" t="str">
        <f t="shared" si="22"/>
        <v>Medium</v>
      </c>
    </row>
    <row r="1335" spans="1:13" x14ac:dyDescent="0.35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5</v>
      </c>
      <c r="M1335" t="str">
        <f t="shared" si="22"/>
        <v>Medium</v>
      </c>
    </row>
    <row r="1336" spans="1:13" x14ac:dyDescent="0.35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5</v>
      </c>
      <c r="M1336" t="str">
        <f t="shared" si="22"/>
        <v>Medium</v>
      </c>
    </row>
    <row r="1337" spans="1:13" x14ac:dyDescent="0.35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6</v>
      </c>
      <c r="M1337" t="str">
        <f t="shared" si="22"/>
        <v>Medium</v>
      </c>
    </row>
    <row r="1338" spans="1:13" x14ac:dyDescent="0.35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0.99448000000000003</v>
      </c>
      <c r="I1338">
        <v>3.36</v>
      </c>
      <c r="J1338">
        <v>0.45</v>
      </c>
      <c r="K1338">
        <v>9.5</v>
      </c>
      <c r="L1338">
        <v>5</v>
      </c>
      <c r="M1338" t="str">
        <f t="shared" si="22"/>
        <v>Medium</v>
      </c>
    </row>
    <row r="1339" spans="1:13" x14ac:dyDescent="0.35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0.99448000000000003</v>
      </c>
      <c r="I1339">
        <v>3.36</v>
      </c>
      <c r="J1339">
        <v>0.45</v>
      </c>
      <c r="K1339">
        <v>9.5</v>
      </c>
      <c r="L1339">
        <v>5</v>
      </c>
      <c r="M1339" t="str">
        <f t="shared" si="22"/>
        <v>Medium</v>
      </c>
    </row>
    <row r="1340" spans="1:13" x14ac:dyDescent="0.35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0.99448000000000003</v>
      </c>
      <c r="I1340">
        <v>3.36</v>
      </c>
      <c r="J1340">
        <v>0.45</v>
      </c>
      <c r="K1340">
        <v>9.5</v>
      </c>
      <c r="L1340">
        <v>5</v>
      </c>
      <c r="M1340" t="str">
        <f t="shared" si="22"/>
        <v>Medium</v>
      </c>
    </row>
    <row r="1341" spans="1:13" x14ac:dyDescent="0.35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0.99538000000000004</v>
      </c>
      <c r="I1341">
        <v>3.36</v>
      </c>
      <c r="J1341">
        <v>0.54</v>
      </c>
      <c r="K1341">
        <v>10.5</v>
      </c>
      <c r="L1341">
        <v>6</v>
      </c>
      <c r="M1341" t="str">
        <f t="shared" si="22"/>
        <v>Medium</v>
      </c>
    </row>
    <row r="1342" spans="1:13" x14ac:dyDescent="0.35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0.99538000000000004</v>
      </c>
      <c r="I1342">
        <v>3.36</v>
      </c>
      <c r="J1342">
        <v>0.54</v>
      </c>
      <c r="K1342">
        <v>10.5</v>
      </c>
      <c r="L1342">
        <v>6</v>
      </c>
      <c r="M1342" t="str">
        <f t="shared" si="22"/>
        <v>Medium</v>
      </c>
    </row>
    <row r="1343" spans="1:13" x14ac:dyDescent="0.35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0.99538000000000004</v>
      </c>
      <c r="I1343">
        <v>3.36</v>
      </c>
      <c r="J1343">
        <v>0.54</v>
      </c>
      <c r="K1343">
        <v>10.5</v>
      </c>
      <c r="L1343">
        <v>6</v>
      </c>
      <c r="M1343" t="str">
        <f t="shared" si="22"/>
        <v>Medium</v>
      </c>
    </row>
    <row r="1344" spans="1:13" x14ac:dyDescent="0.35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0.99589000000000005</v>
      </c>
      <c r="I1344">
        <v>3.37</v>
      </c>
      <c r="J1344">
        <v>0.51</v>
      </c>
      <c r="K1344">
        <v>10.4</v>
      </c>
      <c r="L1344">
        <v>6</v>
      </c>
      <c r="M1344" t="str">
        <f t="shared" si="22"/>
        <v>Medium</v>
      </c>
    </row>
    <row r="1345" spans="1:13" x14ac:dyDescent="0.35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0.99538000000000004</v>
      </c>
      <c r="I1345">
        <v>3.36</v>
      </c>
      <c r="J1345">
        <v>0.54</v>
      </c>
      <c r="K1345">
        <v>10.5</v>
      </c>
      <c r="L1345">
        <v>6</v>
      </c>
      <c r="M1345" t="str">
        <f t="shared" si="22"/>
        <v>Medium</v>
      </c>
    </row>
    <row r="1346" spans="1:13" x14ac:dyDescent="0.35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5</v>
      </c>
      <c r="M1346" t="str">
        <f t="shared" si="22"/>
        <v>Medium</v>
      </c>
    </row>
    <row r="1347" spans="1:13" x14ac:dyDescent="0.35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6</v>
      </c>
      <c r="M1347" t="str">
        <f t="shared" ref="M1347:M1410" si="23">IF(L1347&gt;=7,"High",IF(L1347&gt;=5,"Medium","Low"))</f>
        <v>Medium</v>
      </c>
    </row>
    <row r="1348" spans="1:13" x14ac:dyDescent="0.35">
      <c r="A1348">
        <v>6.1</v>
      </c>
      <c r="B1348">
        <v>0.59</v>
      </c>
      <c r="C1348">
        <v>0.01</v>
      </c>
      <c r="D1348">
        <v>2.1</v>
      </c>
      <c r="E1348">
        <v>5.6000000000000001E-2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5</v>
      </c>
      <c r="M1348" t="str">
        <f t="shared" si="23"/>
        <v>Medium</v>
      </c>
    </row>
    <row r="1349" spans="1:13" x14ac:dyDescent="0.35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5</v>
      </c>
      <c r="M1349" t="str">
        <f t="shared" si="23"/>
        <v>Medium</v>
      </c>
    </row>
    <row r="1350" spans="1:13" x14ac:dyDescent="0.35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5</v>
      </c>
      <c r="M1350" t="str">
        <f t="shared" si="23"/>
        <v>Medium</v>
      </c>
    </row>
    <row r="1351" spans="1:13" x14ac:dyDescent="0.35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5</v>
      </c>
      <c r="M1351" t="str">
        <f t="shared" si="23"/>
        <v>Medium</v>
      </c>
    </row>
    <row r="1352" spans="1:13" x14ac:dyDescent="0.35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5</v>
      </c>
      <c r="M1352" t="str">
        <f t="shared" si="23"/>
        <v>Medium</v>
      </c>
    </row>
    <row r="1353" spans="1:13" x14ac:dyDescent="0.35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6</v>
      </c>
      <c r="M1353" t="str">
        <f t="shared" si="23"/>
        <v>Medium</v>
      </c>
    </row>
    <row r="1354" spans="1:13" x14ac:dyDescent="0.35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5</v>
      </c>
      <c r="M1354" t="str">
        <f t="shared" si="23"/>
        <v>Medium</v>
      </c>
    </row>
    <row r="1355" spans="1:13" x14ac:dyDescent="0.35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5</v>
      </c>
      <c r="M1355" t="str">
        <f t="shared" si="23"/>
        <v>Medium</v>
      </c>
    </row>
    <row r="1356" spans="1:13" x14ac:dyDescent="0.35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0.99568000000000001</v>
      </c>
      <c r="I1356">
        <v>3.35</v>
      </c>
      <c r="J1356">
        <v>0.52</v>
      </c>
      <c r="K1356">
        <v>10</v>
      </c>
      <c r="L1356">
        <v>5</v>
      </c>
      <c r="M1356" t="str">
        <f t="shared" si="23"/>
        <v>Medium</v>
      </c>
    </row>
    <row r="1357" spans="1:13" x14ac:dyDescent="0.35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5</v>
      </c>
      <c r="M1357" t="str">
        <f t="shared" si="23"/>
        <v>Medium</v>
      </c>
    </row>
    <row r="1358" spans="1:13" x14ac:dyDescent="0.35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5</v>
      </c>
      <c r="M1358" t="str">
        <f t="shared" si="23"/>
        <v>Medium</v>
      </c>
    </row>
    <row r="1359" spans="1:13" x14ac:dyDescent="0.35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0.99648000000000003</v>
      </c>
      <c r="I1359">
        <v>3.6</v>
      </c>
      <c r="J1359">
        <v>0.59</v>
      </c>
      <c r="K1359">
        <v>11.1</v>
      </c>
      <c r="L1359">
        <v>6</v>
      </c>
      <c r="M1359" t="str">
        <f t="shared" si="23"/>
        <v>Medium</v>
      </c>
    </row>
    <row r="1360" spans="1:13" x14ac:dyDescent="0.35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5</v>
      </c>
      <c r="M1360" t="str">
        <f t="shared" si="23"/>
        <v>Medium</v>
      </c>
    </row>
    <row r="1361" spans="1:13" x14ac:dyDescent="0.35">
      <c r="A136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0.99704000000000004</v>
      </c>
      <c r="I1361">
        <v>3.07</v>
      </c>
      <c r="J1361">
        <v>0.65</v>
      </c>
      <c r="K1361">
        <v>10.033333333333299</v>
      </c>
      <c r="L1361">
        <v>6</v>
      </c>
      <c r="M1361" t="str">
        <f t="shared" si="23"/>
        <v>Medium</v>
      </c>
    </row>
    <row r="1362" spans="1:13" x14ac:dyDescent="0.35">
      <c r="A1362">
        <v>9.1999999999999993</v>
      </c>
      <c r="B1362">
        <v>0.54</v>
      </c>
      <c r="C1362">
        <v>0.31</v>
      </c>
      <c r="D1362">
        <v>2.2999999999999998</v>
      </c>
      <c r="E1362">
        <v>0.112</v>
      </c>
      <c r="F1362">
        <v>11</v>
      </c>
      <c r="G1362">
        <v>38</v>
      </c>
      <c r="H1362">
        <v>0.99699000000000004</v>
      </c>
      <c r="I1362">
        <v>3.24</v>
      </c>
      <c r="J1362">
        <v>0.56000000000000005</v>
      </c>
      <c r="K1362">
        <v>10.9</v>
      </c>
      <c r="L1362">
        <v>5</v>
      </c>
      <c r="M1362" t="str">
        <f t="shared" si="23"/>
        <v>Medium</v>
      </c>
    </row>
    <row r="1363" spans="1:13" x14ac:dyDescent="0.35">
      <c r="A1363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>
        <v>5</v>
      </c>
      <c r="M1363" t="str">
        <f t="shared" si="23"/>
        <v>Medium</v>
      </c>
    </row>
    <row r="1364" spans="1:13" x14ac:dyDescent="0.35">
      <c r="A1364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0.99704000000000004</v>
      </c>
      <c r="I1364">
        <v>3.07</v>
      </c>
      <c r="J1364">
        <v>0.65</v>
      </c>
      <c r="K1364">
        <v>10.033333333333299</v>
      </c>
      <c r="L1364">
        <v>6</v>
      </c>
      <c r="M1364" t="str">
        <f t="shared" si="23"/>
        <v>Medium</v>
      </c>
    </row>
    <row r="1365" spans="1:13" x14ac:dyDescent="0.35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>
        <v>4</v>
      </c>
      <c r="M1365" t="str">
        <f t="shared" si="23"/>
        <v>Low</v>
      </c>
    </row>
    <row r="1366" spans="1:13" x14ac:dyDescent="0.35">
      <c r="A1366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  <c r="M1366" t="str">
        <f t="shared" si="23"/>
        <v>Medium</v>
      </c>
    </row>
    <row r="1367" spans="1:13" x14ac:dyDescent="0.35">
      <c r="A1367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>
        <v>5</v>
      </c>
      <c r="M1367" t="str">
        <f t="shared" si="23"/>
        <v>Medium</v>
      </c>
    </row>
    <row r="1368" spans="1:13" x14ac:dyDescent="0.35">
      <c r="A1368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>
        <v>5</v>
      </c>
      <c r="M1368" t="str">
        <f t="shared" si="23"/>
        <v>Medium</v>
      </c>
    </row>
    <row r="1369" spans="1:13" x14ac:dyDescent="0.35">
      <c r="A1369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>
        <v>6</v>
      </c>
      <c r="M1369" t="str">
        <f t="shared" si="23"/>
        <v>Medium</v>
      </c>
    </row>
    <row r="1370" spans="1:13" x14ac:dyDescent="0.35">
      <c r="A1370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>
        <v>6</v>
      </c>
      <c r="M1370" t="str">
        <f t="shared" si="23"/>
        <v>Medium</v>
      </c>
    </row>
    <row r="1371" spans="1:13" x14ac:dyDescent="0.35">
      <c r="A137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>
        <v>4</v>
      </c>
      <c r="M1371" t="str">
        <f t="shared" si="23"/>
        <v>Low</v>
      </c>
    </row>
    <row r="1372" spans="1:13" x14ac:dyDescent="0.35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5</v>
      </c>
      <c r="M1372" t="str">
        <f t="shared" si="23"/>
        <v>Medium</v>
      </c>
    </row>
    <row r="1373" spans="1:13" x14ac:dyDescent="0.35">
      <c r="A1373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>
        <v>6</v>
      </c>
      <c r="M1373" t="str">
        <f t="shared" si="23"/>
        <v>Medium</v>
      </c>
    </row>
    <row r="1374" spans="1:13" x14ac:dyDescent="0.35">
      <c r="A1374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>
        <v>5</v>
      </c>
      <c r="M1374" t="str">
        <f t="shared" si="23"/>
        <v>Medium</v>
      </c>
    </row>
    <row r="1375" spans="1:13" x14ac:dyDescent="0.35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>
        <v>5</v>
      </c>
      <c r="M1375" t="str">
        <f t="shared" si="23"/>
        <v>Medium</v>
      </c>
    </row>
    <row r="1376" spans="1:13" x14ac:dyDescent="0.35">
      <c r="A1376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>
        <v>3</v>
      </c>
      <c r="M1376" t="str">
        <f t="shared" si="23"/>
        <v>Low</v>
      </c>
    </row>
    <row r="1377" spans="1:13" x14ac:dyDescent="0.35">
      <c r="A1377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>
        <v>5</v>
      </c>
      <c r="M1377" t="str">
        <f t="shared" si="23"/>
        <v>Medium</v>
      </c>
    </row>
    <row r="1378" spans="1:13" x14ac:dyDescent="0.35">
      <c r="A1378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>
        <v>5</v>
      </c>
      <c r="M1378" t="str">
        <f t="shared" si="23"/>
        <v>Medium</v>
      </c>
    </row>
    <row r="1379" spans="1:13" x14ac:dyDescent="0.35">
      <c r="A1379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>
        <v>6</v>
      </c>
      <c r="M1379" t="str">
        <f t="shared" si="23"/>
        <v>Medium</v>
      </c>
    </row>
    <row r="1380" spans="1:13" x14ac:dyDescent="0.35">
      <c r="A1380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0.99609000000000003</v>
      </c>
      <c r="I1380">
        <v>3.29</v>
      </c>
      <c r="J1380">
        <v>0.51</v>
      </c>
      <c r="K1380">
        <v>9.9</v>
      </c>
      <c r="L1380">
        <v>6</v>
      </c>
      <c r="M1380" t="str">
        <f t="shared" si="23"/>
        <v>Medium</v>
      </c>
    </row>
    <row r="1381" spans="1:13" x14ac:dyDescent="0.35">
      <c r="A138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>
        <v>6</v>
      </c>
      <c r="M1381" t="str">
        <f t="shared" si="23"/>
        <v>Medium</v>
      </c>
    </row>
    <row r="1382" spans="1:13" x14ac:dyDescent="0.35">
      <c r="A1382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>
        <v>6</v>
      </c>
      <c r="M1382" t="str">
        <f t="shared" si="23"/>
        <v>Medium</v>
      </c>
    </row>
    <row r="1383" spans="1:13" x14ac:dyDescent="0.35">
      <c r="A1383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  <c r="M1383" t="str">
        <f t="shared" si="23"/>
        <v>Medium</v>
      </c>
    </row>
    <row r="1384" spans="1:13" x14ac:dyDescent="0.35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>
        <v>5</v>
      </c>
      <c r="M1384" t="str">
        <f t="shared" si="23"/>
        <v>Medium</v>
      </c>
    </row>
    <row r="1385" spans="1:13" x14ac:dyDescent="0.35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>
        <v>5</v>
      </c>
      <c r="M1385" t="str">
        <f t="shared" si="23"/>
        <v>Medium</v>
      </c>
    </row>
    <row r="1386" spans="1:13" x14ac:dyDescent="0.35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>
        <v>5</v>
      </c>
      <c r="M1386" t="str">
        <f t="shared" si="23"/>
        <v>Medium</v>
      </c>
    </row>
    <row r="1387" spans="1:13" x14ac:dyDescent="0.35">
      <c r="A1387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0.99668000000000001</v>
      </c>
      <c r="I1387">
        <v>3.19</v>
      </c>
      <c r="J1387">
        <v>0.42</v>
      </c>
      <c r="K1387">
        <v>9.1999999999999993</v>
      </c>
      <c r="L1387">
        <v>5</v>
      </c>
      <c r="M1387" t="str">
        <f t="shared" si="23"/>
        <v>Medium</v>
      </c>
    </row>
    <row r="1388" spans="1:13" x14ac:dyDescent="0.35">
      <c r="A1388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>
        <v>5</v>
      </c>
      <c r="M1388" t="str">
        <f t="shared" si="23"/>
        <v>Medium</v>
      </c>
    </row>
    <row r="1389" spans="1:13" x14ac:dyDescent="0.35">
      <c r="A1389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>
        <v>5</v>
      </c>
      <c r="M1389" t="str">
        <f t="shared" si="23"/>
        <v>Medium</v>
      </c>
    </row>
    <row r="1390" spans="1:13" x14ac:dyDescent="0.35">
      <c r="A1390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>
        <v>5</v>
      </c>
      <c r="M1390" t="str">
        <f t="shared" si="23"/>
        <v>Medium</v>
      </c>
    </row>
    <row r="1391" spans="1:13" x14ac:dyDescent="0.35">
      <c r="A139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>
        <v>5</v>
      </c>
      <c r="M1391" t="str">
        <f t="shared" si="23"/>
        <v>Medium</v>
      </c>
    </row>
    <row r="1392" spans="1:13" x14ac:dyDescent="0.35">
      <c r="A1392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>
        <v>6</v>
      </c>
      <c r="M1392" t="str">
        <f t="shared" si="23"/>
        <v>Medium</v>
      </c>
    </row>
    <row r="1393" spans="1:13" x14ac:dyDescent="0.35">
      <c r="A1393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>
        <v>5</v>
      </c>
      <c r="M1393" t="str">
        <f t="shared" si="23"/>
        <v>Medium</v>
      </c>
    </row>
    <row r="1394" spans="1:13" x14ac:dyDescent="0.35">
      <c r="A1394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>
        <v>5</v>
      </c>
      <c r="M1394" t="str">
        <f t="shared" si="23"/>
        <v>Medium</v>
      </c>
    </row>
    <row r="1395" spans="1:13" x14ac:dyDescent="0.35">
      <c r="A1395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>
        <v>5</v>
      </c>
      <c r="M1395" t="str">
        <f t="shared" si="23"/>
        <v>Medium</v>
      </c>
    </row>
    <row r="1396" spans="1:13" x14ac:dyDescent="0.35">
      <c r="A1396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>
        <v>5</v>
      </c>
      <c r="M1396" t="str">
        <f t="shared" si="23"/>
        <v>Medium</v>
      </c>
    </row>
    <row r="1397" spans="1:13" x14ac:dyDescent="0.35">
      <c r="A1397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>
        <v>6</v>
      </c>
      <c r="M1397" t="str">
        <f t="shared" si="23"/>
        <v>Medium</v>
      </c>
    </row>
    <row r="1398" spans="1:13" x14ac:dyDescent="0.35">
      <c r="A1398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>
        <v>5</v>
      </c>
      <c r="M1398" t="str">
        <f t="shared" si="23"/>
        <v>Medium</v>
      </c>
    </row>
    <row r="1399" spans="1:13" x14ac:dyDescent="0.35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>
        <v>5</v>
      </c>
      <c r="M1399" t="str">
        <f t="shared" si="23"/>
        <v>Medium</v>
      </c>
    </row>
    <row r="1400" spans="1:13" x14ac:dyDescent="0.35">
      <c r="A1400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>
        <v>7</v>
      </c>
      <c r="M1400" t="str">
        <f t="shared" si="23"/>
        <v>High</v>
      </c>
    </row>
    <row r="1401" spans="1:13" x14ac:dyDescent="0.35">
      <c r="A140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>
        <v>6</v>
      </c>
      <c r="M1401" t="str">
        <f t="shared" si="23"/>
        <v>Medium</v>
      </c>
    </row>
    <row r="1402" spans="1:13" x14ac:dyDescent="0.35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>
        <v>5</v>
      </c>
      <c r="M1402" t="str">
        <f t="shared" si="23"/>
        <v>Medium</v>
      </c>
    </row>
    <row r="1403" spans="1:13" x14ac:dyDescent="0.35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>
        <v>5</v>
      </c>
      <c r="M1403" t="str">
        <f t="shared" si="23"/>
        <v>Medium</v>
      </c>
    </row>
    <row r="1404" spans="1:13" x14ac:dyDescent="0.35">
      <c r="A1404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>
        <v>6</v>
      </c>
      <c r="M1404" t="str">
        <f t="shared" si="23"/>
        <v>Medium</v>
      </c>
    </row>
    <row r="1405" spans="1:13" x14ac:dyDescent="0.35">
      <c r="A1405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>
        <v>8</v>
      </c>
      <c r="M1405" t="str">
        <f t="shared" si="23"/>
        <v>High</v>
      </c>
    </row>
    <row r="1406" spans="1:13" x14ac:dyDescent="0.35">
      <c r="A1406">
        <v>8</v>
      </c>
      <c r="B1406">
        <v>0.5</v>
      </c>
      <c r="C1406">
        <v>0.39</v>
      </c>
      <c r="D1406">
        <v>2.6</v>
      </c>
      <c r="E1406">
        <v>8.2000000000000003E-2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>
        <v>6</v>
      </c>
      <c r="M1406" t="str">
        <f t="shared" si="23"/>
        <v>Medium</v>
      </c>
    </row>
    <row r="1407" spans="1:13" x14ac:dyDescent="0.35">
      <c r="A1407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>
        <v>7</v>
      </c>
      <c r="M1407" t="str">
        <f t="shared" si="23"/>
        <v>High</v>
      </c>
    </row>
    <row r="1408" spans="1:13" x14ac:dyDescent="0.35">
      <c r="A1408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>
        <v>6</v>
      </c>
      <c r="M1408" t="str">
        <f t="shared" si="23"/>
        <v>Medium</v>
      </c>
    </row>
    <row r="1409" spans="1:13" x14ac:dyDescent="0.35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  <c r="M1409" t="str">
        <f t="shared" si="23"/>
        <v>Medium</v>
      </c>
    </row>
    <row r="1410" spans="1:13" x14ac:dyDescent="0.35">
      <c r="A1410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  <c r="M1410" t="str">
        <f t="shared" si="23"/>
        <v>High</v>
      </c>
    </row>
    <row r="1411" spans="1:13" x14ac:dyDescent="0.35">
      <c r="A141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  <c r="M1411" t="str">
        <f t="shared" ref="M1411:M1474" si="24">IF(L1411&gt;=7,"High",IF(L1411&gt;=5,"Medium","Low"))</f>
        <v>Medium</v>
      </c>
    </row>
    <row r="1412" spans="1:13" x14ac:dyDescent="0.35">
      <c r="A1412">
        <v>6.6</v>
      </c>
      <c r="B1412">
        <v>0.96</v>
      </c>
      <c r="C1412">
        <v>0</v>
      </c>
      <c r="D1412">
        <v>1.8</v>
      </c>
      <c r="E1412">
        <v>8.2000000000000003E-2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>
        <v>6</v>
      </c>
      <c r="M1412" t="str">
        <f t="shared" si="24"/>
        <v>Medium</v>
      </c>
    </row>
    <row r="1413" spans="1:13" x14ac:dyDescent="0.35">
      <c r="A1413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>
        <v>6</v>
      </c>
      <c r="M1413" t="str">
        <f t="shared" si="24"/>
        <v>Medium</v>
      </c>
    </row>
    <row r="1414" spans="1:13" x14ac:dyDescent="0.35">
      <c r="A1414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>
        <v>6</v>
      </c>
      <c r="M1414" t="str">
        <f t="shared" si="24"/>
        <v>Medium</v>
      </c>
    </row>
    <row r="1415" spans="1:13" x14ac:dyDescent="0.35">
      <c r="A1415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>
        <v>5</v>
      </c>
      <c r="M1415" t="str">
        <f t="shared" si="24"/>
        <v>Medium</v>
      </c>
    </row>
    <row r="1416" spans="1:13" x14ac:dyDescent="0.35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5</v>
      </c>
      <c r="M1416" t="str">
        <f t="shared" si="24"/>
        <v>Medium</v>
      </c>
    </row>
    <row r="1417" spans="1:13" x14ac:dyDescent="0.35">
      <c r="A1417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>
        <v>5</v>
      </c>
      <c r="M1417" t="str">
        <f t="shared" si="24"/>
        <v>Medium</v>
      </c>
    </row>
    <row r="1418" spans="1:13" x14ac:dyDescent="0.35">
      <c r="A1418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>
        <v>5</v>
      </c>
      <c r="M1418" t="str">
        <f t="shared" si="24"/>
        <v>Medium</v>
      </c>
    </row>
    <row r="1419" spans="1:13" x14ac:dyDescent="0.35">
      <c r="A1419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>
        <v>7</v>
      </c>
      <c r="M1419" t="str">
        <f t="shared" si="24"/>
        <v>High</v>
      </c>
    </row>
    <row r="1420" spans="1:13" x14ac:dyDescent="0.35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5</v>
      </c>
      <c r="M1420" t="str">
        <f t="shared" si="24"/>
        <v>Medium</v>
      </c>
    </row>
    <row r="1421" spans="1:13" x14ac:dyDescent="0.35">
      <c r="A142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>
        <v>5</v>
      </c>
      <c r="M1421" t="str">
        <f t="shared" si="24"/>
        <v>Medium</v>
      </c>
    </row>
    <row r="1422" spans="1:13" x14ac:dyDescent="0.35">
      <c r="A1422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>
        <v>5</v>
      </c>
      <c r="M1422" t="str">
        <f t="shared" si="24"/>
        <v>Medium</v>
      </c>
    </row>
    <row r="1423" spans="1:13" x14ac:dyDescent="0.35">
      <c r="A1423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>
        <v>5</v>
      </c>
      <c r="M1423" t="str">
        <f t="shared" si="24"/>
        <v>Medium</v>
      </c>
    </row>
    <row r="1424" spans="1:13" x14ac:dyDescent="0.35">
      <c r="A1424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>
        <v>6</v>
      </c>
      <c r="M1424" t="str">
        <f t="shared" si="24"/>
        <v>Medium</v>
      </c>
    </row>
    <row r="1425" spans="1:13" x14ac:dyDescent="0.35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>
        <v>4</v>
      </c>
      <c r="M1425" t="str">
        <f t="shared" si="24"/>
        <v>Low</v>
      </c>
    </row>
    <row r="1426" spans="1:13" x14ac:dyDescent="0.35">
      <c r="A1426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>
        <v>6</v>
      </c>
      <c r="M1426" t="str">
        <f t="shared" si="24"/>
        <v>Medium</v>
      </c>
    </row>
    <row r="1427" spans="1:13" x14ac:dyDescent="0.35">
      <c r="A1427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>
        <v>6</v>
      </c>
      <c r="M1427" t="str">
        <f t="shared" si="24"/>
        <v>Medium</v>
      </c>
    </row>
    <row r="1428" spans="1:13" x14ac:dyDescent="0.35">
      <c r="A1428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>
        <v>6</v>
      </c>
      <c r="M1428" t="str">
        <f t="shared" si="24"/>
        <v>Medium</v>
      </c>
    </row>
    <row r="1429" spans="1:13" x14ac:dyDescent="0.35">
      <c r="A1429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>
        <v>5</v>
      </c>
      <c r="M1429" t="str">
        <f t="shared" si="24"/>
        <v>Medium</v>
      </c>
    </row>
    <row r="1430" spans="1:13" x14ac:dyDescent="0.35">
      <c r="A1430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>
        <v>5</v>
      </c>
      <c r="M1430" t="str">
        <f t="shared" si="24"/>
        <v>Medium</v>
      </c>
    </row>
    <row r="1431" spans="1:13" x14ac:dyDescent="0.35">
      <c r="A143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  <c r="M1431" t="str">
        <f t="shared" si="24"/>
        <v>Medium</v>
      </c>
    </row>
    <row r="1432" spans="1:13" x14ac:dyDescent="0.35">
      <c r="A1432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>
        <v>5</v>
      </c>
      <c r="M1432" t="str">
        <f t="shared" si="24"/>
        <v>Medium</v>
      </c>
    </row>
    <row r="1433" spans="1:13" x14ac:dyDescent="0.35">
      <c r="A1433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>
        <v>6</v>
      </c>
      <c r="M1433" t="str">
        <f t="shared" si="24"/>
        <v>Medium</v>
      </c>
    </row>
    <row r="1434" spans="1:13" x14ac:dyDescent="0.35">
      <c r="A1434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>
        <v>6</v>
      </c>
      <c r="M1434" t="str">
        <f t="shared" si="24"/>
        <v>Medium</v>
      </c>
    </row>
    <row r="1435" spans="1:13" x14ac:dyDescent="0.35">
      <c r="A1435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>
        <v>7</v>
      </c>
      <c r="M1435" t="str">
        <f t="shared" si="24"/>
        <v>High</v>
      </c>
    </row>
    <row r="1436" spans="1:13" x14ac:dyDescent="0.35">
      <c r="A1436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6</v>
      </c>
      <c r="M1436" t="str">
        <f t="shared" si="24"/>
        <v>Medium</v>
      </c>
    </row>
    <row r="1437" spans="1:13" x14ac:dyDescent="0.35">
      <c r="A1437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6</v>
      </c>
      <c r="M1437" t="str">
        <f t="shared" si="24"/>
        <v>Medium</v>
      </c>
    </row>
    <row r="1438" spans="1:13" x14ac:dyDescent="0.35">
      <c r="A1438">
        <v>10</v>
      </c>
      <c r="B1438">
        <v>0.38</v>
      </c>
      <c r="C1438">
        <v>0.38</v>
      </c>
      <c r="D1438">
        <v>1.6</v>
      </c>
      <c r="E1438">
        <v>0.16900000000000001</v>
      </c>
      <c r="F1438">
        <v>27</v>
      </c>
      <c r="G1438">
        <v>90</v>
      </c>
      <c r="H1438">
        <v>0.99914000000000003</v>
      </c>
      <c r="I1438">
        <v>3.15</v>
      </c>
      <c r="J1438">
        <v>0.65</v>
      </c>
      <c r="K1438">
        <v>8.5</v>
      </c>
      <c r="L1438">
        <v>5</v>
      </c>
      <c r="M1438" t="str">
        <f t="shared" si="24"/>
        <v>Medium</v>
      </c>
    </row>
    <row r="1439" spans="1:13" x14ac:dyDescent="0.35">
      <c r="A1439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>
        <v>5</v>
      </c>
      <c r="M1439" t="str">
        <f t="shared" si="24"/>
        <v>Medium</v>
      </c>
    </row>
    <row r="1440" spans="1:13" x14ac:dyDescent="0.35">
      <c r="A1440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  <c r="M1440" t="str">
        <f t="shared" si="24"/>
        <v>Medium</v>
      </c>
    </row>
    <row r="1441" spans="1:13" x14ac:dyDescent="0.35">
      <c r="A144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>
        <v>11.0666666666667</v>
      </c>
      <c r="L1441">
        <v>6</v>
      </c>
      <c r="M1441" t="str">
        <f t="shared" si="24"/>
        <v>Medium</v>
      </c>
    </row>
    <row r="1442" spans="1:13" x14ac:dyDescent="0.35">
      <c r="A1442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>
        <v>7</v>
      </c>
      <c r="M1442" t="str">
        <f t="shared" si="24"/>
        <v>High</v>
      </c>
    </row>
    <row r="1443" spans="1:13" x14ac:dyDescent="0.35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9.56666666666667</v>
      </c>
      <c r="L1443">
        <v>6</v>
      </c>
      <c r="M1443" t="str">
        <f t="shared" si="24"/>
        <v>Medium</v>
      </c>
    </row>
    <row r="1444" spans="1:13" x14ac:dyDescent="0.35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5</v>
      </c>
      <c r="M1444" t="str">
        <f t="shared" si="24"/>
        <v>Medium</v>
      </c>
    </row>
    <row r="1445" spans="1:13" x14ac:dyDescent="0.35">
      <c r="A1445">
        <v>6.9</v>
      </c>
      <c r="B1445">
        <v>0.57999999999999996</v>
      </c>
      <c r="C1445">
        <v>0.2</v>
      </c>
      <c r="D1445">
        <v>1.75</v>
      </c>
      <c r="E1445">
        <v>5.8000000000000003E-2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>
        <v>5</v>
      </c>
      <c r="M1445" t="str">
        <f t="shared" si="24"/>
        <v>Medium</v>
      </c>
    </row>
    <row r="1446" spans="1:13" x14ac:dyDescent="0.35">
      <c r="A1446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>
        <v>6</v>
      </c>
      <c r="M1446" t="str">
        <f t="shared" si="24"/>
        <v>Medium</v>
      </c>
    </row>
    <row r="1447" spans="1:13" x14ac:dyDescent="0.35">
      <c r="A1447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>
        <v>6</v>
      </c>
      <c r="M1447" t="str">
        <f t="shared" si="24"/>
        <v>Medium</v>
      </c>
    </row>
    <row r="1448" spans="1:13" x14ac:dyDescent="0.35">
      <c r="A1448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>
        <v>5</v>
      </c>
      <c r="M1448" t="str">
        <f t="shared" si="24"/>
        <v>Medium</v>
      </c>
    </row>
    <row r="1449" spans="1:13" x14ac:dyDescent="0.35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>
        <v>5</v>
      </c>
      <c r="M1449" t="str">
        <f t="shared" si="24"/>
        <v>Medium</v>
      </c>
    </row>
    <row r="1450" spans="1:13" x14ac:dyDescent="0.35">
      <c r="A1450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0.99682999999999999</v>
      </c>
      <c r="I1450">
        <v>3.4</v>
      </c>
      <c r="J1450">
        <v>0.73</v>
      </c>
      <c r="K1450">
        <v>9.6999999999999993</v>
      </c>
      <c r="L1450">
        <v>5</v>
      </c>
      <c r="M1450" t="str">
        <f t="shared" si="24"/>
        <v>Medium</v>
      </c>
    </row>
    <row r="1451" spans="1:13" x14ac:dyDescent="0.35">
      <c r="A1451">
        <v>7.2</v>
      </c>
      <c r="B1451">
        <v>0.38</v>
      </c>
      <c r="C1451">
        <v>0.31</v>
      </c>
      <c r="D1451">
        <v>2</v>
      </c>
      <c r="E1451">
        <v>5.6000000000000001E-2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>
        <v>8</v>
      </c>
      <c r="M1451" t="str">
        <f t="shared" si="24"/>
        <v>High</v>
      </c>
    </row>
    <row r="1452" spans="1:13" x14ac:dyDescent="0.35">
      <c r="A1452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>
        <v>7</v>
      </c>
      <c r="M1452" t="str">
        <f t="shared" si="24"/>
        <v>High</v>
      </c>
    </row>
    <row r="1453" spans="1:13" x14ac:dyDescent="0.35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>
        <v>7</v>
      </c>
      <c r="M1453" t="str">
        <f t="shared" si="24"/>
        <v>High</v>
      </c>
    </row>
    <row r="1454" spans="1:13" x14ac:dyDescent="0.35">
      <c r="A1454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>
        <v>7</v>
      </c>
      <c r="M1454" t="str">
        <f t="shared" si="24"/>
        <v>High</v>
      </c>
    </row>
    <row r="1455" spans="1:13" x14ac:dyDescent="0.35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5</v>
      </c>
      <c r="M1455" t="str">
        <f t="shared" si="24"/>
        <v>Medium</v>
      </c>
    </row>
    <row r="1456" spans="1:13" x14ac:dyDescent="0.35">
      <c r="A1456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>
        <v>6</v>
      </c>
      <c r="M1456" t="str">
        <f t="shared" si="24"/>
        <v>Medium</v>
      </c>
    </row>
    <row r="1457" spans="1:13" x14ac:dyDescent="0.35">
      <c r="A1457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>
        <v>6</v>
      </c>
      <c r="M1457" t="str">
        <f t="shared" si="24"/>
        <v>Medium</v>
      </c>
    </row>
    <row r="1458" spans="1:13" x14ac:dyDescent="0.35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>
        <v>6</v>
      </c>
      <c r="M1458" t="str">
        <f t="shared" si="24"/>
        <v>Medium</v>
      </c>
    </row>
    <row r="1459" spans="1:13" x14ac:dyDescent="0.35">
      <c r="A1459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>
        <v>5</v>
      </c>
      <c r="M1459" t="str">
        <f t="shared" si="24"/>
        <v>Medium</v>
      </c>
    </row>
    <row r="1460" spans="1:13" x14ac:dyDescent="0.35">
      <c r="A1460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>
        <v>5</v>
      </c>
      <c r="M1460" t="str">
        <f t="shared" si="24"/>
        <v>Medium</v>
      </c>
    </row>
    <row r="1461" spans="1:13" x14ac:dyDescent="0.35">
      <c r="A146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0.99458000000000002</v>
      </c>
      <c r="I1461">
        <v>3.32</v>
      </c>
      <c r="J1461">
        <v>0.8</v>
      </c>
      <c r="K1461">
        <v>11.9</v>
      </c>
      <c r="L1461">
        <v>7</v>
      </c>
      <c r="M1461" t="str">
        <f t="shared" si="24"/>
        <v>High</v>
      </c>
    </row>
    <row r="1462" spans="1:13" x14ac:dyDescent="0.35">
      <c r="A1462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>
        <v>6</v>
      </c>
      <c r="M1462" t="str">
        <f t="shared" si="24"/>
        <v>Medium</v>
      </c>
    </row>
    <row r="1463" spans="1:13" x14ac:dyDescent="0.35">
      <c r="A1463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>
        <v>4</v>
      </c>
      <c r="M1463" t="str">
        <f t="shared" si="24"/>
        <v>Low</v>
      </c>
    </row>
    <row r="1464" spans="1:13" x14ac:dyDescent="0.35">
      <c r="A1464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>
        <v>6</v>
      </c>
      <c r="M1464" t="str">
        <f t="shared" si="24"/>
        <v>Medium</v>
      </c>
    </row>
    <row r="1465" spans="1:13" x14ac:dyDescent="0.35">
      <c r="A1465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>
        <v>6</v>
      </c>
      <c r="M1465" t="str">
        <f t="shared" si="24"/>
        <v>Medium</v>
      </c>
    </row>
    <row r="1466" spans="1:13" x14ac:dyDescent="0.35">
      <c r="A1466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>
        <v>5</v>
      </c>
      <c r="M1466" t="str">
        <f t="shared" si="24"/>
        <v>Medium</v>
      </c>
    </row>
    <row r="1467" spans="1:13" x14ac:dyDescent="0.35">
      <c r="A1467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>
        <v>5</v>
      </c>
      <c r="M1467" t="str">
        <f t="shared" si="24"/>
        <v>Medium</v>
      </c>
    </row>
    <row r="1468" spans="1:13" x14ac:dyDescent="0.35">
      <c r="A1468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0.99728000000000006</v>
      </c>
      <c r="I1468">
        <v>3.3</v>
      </c>
      <c r="J1468">
        <v>0.65</v>
      </c>
      <c r="K1468">
        <v>10</v>
      </c>
      <c r="L1468">
        <v>7</v>
      </c>
      <c r="M1468" t="str">
        <f t="shared" si="24"/>
        <v>High</v>
      </c>
    </row>
    <row r="1469" spans="1:13" x14ac:dyDescent="0.35">
      <c r="A1469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0.99648000000000003</v>
      </c>
      <c r="I1469">
        <v>3.52</v>
      </c>
      <c r="J1469">
        <v>0.56999999999999995</v>
      </c>
      <c r="K1469">
        <v>11</v>
      </c>
      <c r="L1469">
        <v>4</v>
      </c>
      <c r="M1469" t="str">
        <f t="shared" si="24"/>
        <v>Low</v>
      </c>
    </row>
    <row r="1470" spans="1:13" x14ac:dyDescent="0.35">
      <c r="A1470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0.99728000000000006</v>
      </c>
      <c r="I1470">
        <v>3.3</v>
      </c>
      <c r="J1470">
        <v>0.65</v>
      </c>
      <c r="K1470">
        <v>10</v>
      </c>
      <c r="L1470">
        <v>7</v>
      </c>
      <c r="M1470" t="str">
        <f t="shared" si="24"/>
        <v>High</v>
      </c>
    </row>
    <row r="1471" spans="1:13" x14ac:dyDescent="0.35">
      <c r="A147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>
        <v>3</v>
      </c>
      <c r="M1471" t="str">
        <f t="shared" si="24"/>
        <v>Low</v>
      </c>
    </row>
    <row r="1472" spans="1:13" x14ac:dyDescent="0.35">
      <c r="A1472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0.99578</v>
      </c>
      <c r="I1472">
        <v>2.88</v>
      </c>
      <c r="J1472">
        <v>0.47</v>
      </c>
      <c r="K1472">
        <v>9.6999999999999993</v>
      </c>
      <c r="L1472">
        <v>5</v>
      </c>
      <c r="M1472" t="str">
        <f t="shared" si="24"/>
        <v>Medium</v>
      </c>
    </row>
    <row r="1473" spans="1:13" x14ac:dyDescent="0.35">
      <c r="A1473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  <c r="M1473" t="str">
        <f t="shared" si="24"/>
        <v>Medium</v>
      </c>
    </row>
    <row r="1474" spans="1:13" x14ac:dyDescent="0.35">
      <c r="A1474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  <c r="M1474" t="str">
        <f t="shared" si="24"/>
        <v>Medium</v>
      </c>
    </row>
    <row r="1475" spans="1:13" x14ac:dyDescent="0.35">
      <c r="A1475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>
        <v>5</v>
      </c>
      <c r="M1475" t="str">
        <f t="shared" ref="M1475:M1538" si="25">IF(L1475&gt;=7,"High",IF(L1475&gt;=5,"Medium","Low"))</f>
        <v>Medium</v>
      </c>
    </row>
    <row r="1476" spans="1:13" x14ac:dyDescent="0.35">
      <c r="A1476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8.8000000000000007</v>
      </c>
      <c r="L1476">
        <v>5</v>
      </c>
      <c r="M1476" t="str">
        <f t="shared" si="25"/>
        <v>Medium</v>
      </c>
    </row>
    <row r="1477" spans="1:13" x14ac:dyDescent="0.35">
      <c r="A1477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>
        <v>13.5666666666667</v>
      </c>
      <c r="L1477">
        <v>7</v>
      </c>
      <c r="M1477" t="str">
        <f t="shared" si="25"/>
        <v>High</v>
      </c>
    </row>
    <row r="1478" spans="1:13" x14ac:dyDescent="0.35">
      <c r="A1478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8.8000000000000007</v>
      </c>
      <c r="L1478">
        <v>5</v>
      </c>
      <c r="M1478" t="str">
        <f t="shared" si="25"/>
        <v>Medium</v>
      </c>
    </row>
    <row r="1479" spans="1:13" x14ac:dyDescent="0.35">
      <c r="A1479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>
        <v>7</v>
      </c>
      <c r="M1479" t="str">
        <f t="shared" si="25"/>
        <v>High</v>
      </c>
    </row>
    <row r="1480" spans="1:13" x14ac:dyDescent="0.35">
      <c r="A1480">
        <v>7.1</v>
      </c>
      <c r="B1480">
        <v>0.875</v>
      </c>
      <c r="C1480">
        <v>0.05</v>
      </c>
      <c r="D1480">
        <v>5.7</v>
      </c>
      <c r="E1480">
        <v>8.2000000000000003E-2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>
        <v>3</v>
      </c>
      <c r="M1480" t="str">
        <f t="shared" si="25"/>
        <v>Low</v>
      </c>
    </row>
    <row r="1481" spans="1:13" x14ac:dyDescent="0.35">
      <c r="A148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>
        <v>5</v>
      </c>
      <c r="M1481" t="str">
        <f t="shared" si="25"/>
        <v>Medium</v>
      </c>
    </row>
    <row r="1482" spans="1:13" x14ac:dyDescent="0.35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>
        <v>4</v>
      </c>
      <c r="M1482" t="str">
        <f t="shared" si="25"/>
        <v>Low</v>
      </c>
    </row>
    <row r="1483" spans="1:13" x14ac:dyDescent="0.35">
      <c r="A1483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>
        <v>5</v>
      </c>
      <c r="M1483" t="str">
        <f t="shared" si="25"/>
        <v>Medium</v>
      </c>
    </row>
    <row r="1484" spans="1:13" x14ac:dyDescent="0.35">
      <c r="A1484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0.99719000000000002</v>
      </c>
      <c r="I1484">
        <v>3.33</v>
      </c>
      <c r="J1484">
        <v>0.56999999999999995</v>
      </c>
      <c r="K1484">
        <v>10.3</v>
      </c>
      <c r="L1484">
        <v>4</v>
      </c>
      <c r="M1484" t="str">
        <f t="shared" si="25"/>
        <v>Low</v>
      </c>
    </row>
    <row r="1485" spans="1:13" x14ac:dyDescent="0.35">
      <c r="A1485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>
        <v>5</v>
      </c>
      <c r="M1485" t="str">
        <f t="shared" si="25"/>
        <v>Medium</v>
      </c>
    </row>
    <row r="1486" spans="1:13" x14ac:dyDescent="0.35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>
        <v>4</v>
      </c>
      <c r="M1486" t="str">
        <f t="shared" si="25"/>
        <v>Low</v>
      </c>
    </row>
    <row r="1487" spans="1:13" x14ac:dyDescent="0.35">
      <c r="A1487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>
        <v>5</v>
      </c>
      <c r="M1487" t="str">
        <f t="shared" si="25"/>
        <v>Medium</v>
      </c>
    </row>
    <row r="1488" spans="1:13" x14ac:dyDescent="0.35">
      <c r="A1488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>
        <v>5</v>
      </c>
      <c r="M1488" t="str">
        <f t="shared" si="25"/>
        <v>Medium</v>
      </c>
    </row>
    <row r="1489" spans="1:13" x14ac:dyDescent="0.35">
      <c r="A1489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>
        <v>5</v>
      </c>
      <c r="M1489" t="str">
        <f t="shared" si="25"/>
        <v>Medium</v>
      </c>
    </row>
    <row r="1490" spans="1:13" x14ac:dyDescent="0.35">
      <c r="A1490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>
        <v>5</v>
      </c>
      <c r="M1490" t="str">
        <f t="shared" si="25"/>
        <v>Medium</v>
      </c>
    </row>
    <row r="1491" spans="1:13" x14ac:dyDescent="0.35">
      <c r="A149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0.99448000000000003</v>
      </c>
      <c r="I1491">
        <v>3.44</v>
      </c>
      <c r="J1491">
        <v>0.76</v>
      </c>
      <c r="K1491">
        <v>10.8</v>
      </c>
      <c r="L1491">
        <v>6</v>
      </c>
      <c r="M1491" t="str">
        <f t="shared" si="25"/>
        <v>Medium</v>
      </c>
    </row>
    <row r="1492" spans="1:13" x14ac:dyDescent="0.35">
      <c r="A1492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>
        <v>6</v>
      </c>
      <c r="M1492" t="str">
        <f t="shared" si="25"/>
        <v>Medium</v>
      </c>
    </row>
    <row r="1493" spans="1:13" x14ac:dyDescent="0.35">
      <c r="A1493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>
        <v>5</v>
      </c>
      <c r="M1493" t="str">
        <f t="shared" si="25"/>
        <v>Medium</v>
      </c>
    </row>
    <row r="1494" spans="1:13" x14ac:dyDescent="0.35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0.99348000000000003</v>
      </c>
      <c r="I1494">
        <v>3.57</v>
      </c>
      <c r="J1494">
        <v>0.54</v>
      </c>
      <c r="K1494">
        <v>11.95</v>
      </c>
      <c r="L1494">
        <v>5</v>
      </c>
      <c r="M1494" t="str">
        <f t="shared" si="25"/>
        <v>Medium</v>
      </c>
    </row>
    <row r="1495" spans="1:13" x14ac:dyDescent="0.35">
      <c r="A1495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>
        <v>5</v>
      </c>
      <c r="M1495" t="str">
        <f t="shared" si="25"/>
        <v>Medium</v>
      </c>
    </row>
    <row r="1496" spans="1:13" x14ac:dyDescent="0.35">
      <c r="A1496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>
        <v>7</v>
      </c>
      <c r="M1496" t="str">
        <f t="shared" si="25"/>
        <v>High</v>
      </c>
    </row>
    <row r="1497" spans="1:13" x14ac:dyDescent="0.35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>
        <v>6</v>
      </c>
      <c r="M1497" t="str">
        <f t="shared" si="25"/>
        <v>Medium</v>
      </c>
    </row>
    <row r="1498" spans="1:13" x14ac:dyDescent="0.35">
      <c r="A1498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>
        <v>5</v>
      </c>
      <c r="M1498" t="str">
        <f t="shared" si="25"/>
        <v>Medium</v>
      </c>
    </row>
    <row r="1499" spans="1:13" x14ac:dyDescent="0.35">
      <c r="A1499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>
        <v>6</v>
      </c>
      <c r="M1499" t="str">
        <f t="shared" si="25"/>
        <v>Medium</v>
      </c>
    </row>
    <row r="1500" spans="1:13" x14ac:dyDescent="0.35">
      <c r="A1500">
        <v>6.6</v>
      </c>
      <c r="B1500">
        <v>0.89500000000000002</v>
      </c>
      <c r="C1500">
        <v>0.04</v>
      </c>
      <c r="D1500">
        <v>2.2999999999999998</v>
      </c>
      <c r="E1500">
        <v>6.8000000000000005E-2</v>
      </c>
      <c r="F1500">
        <v>7</v>
      </c>
      <c r="G1500">
        <v>13</v>
      </c>
      <c r="H1500">
        <v>0.99582000000000004</v>
      </c>
      <c r="I1500">
        <v>3.53</v>
      </c>
      <c r="J1500">
        <v>0.57999999999999996</v>
      </c>
      <c r="K1500">
        <v>10.8</v>
      </c>
      <c r="L1500">
        <v>6</v>
      </c>
      <c r="M1500" t="str">
        <f t="shared" si="25"/>
        <v>Medium</v>
      </c>
    </row>
    <row r="1501" spans="1:13" x14ac:dyDescent="0.35">
      <c r="A1501">
        <v>6.9</v>
      </c>
      <c r="B1501">
        <v>0.74</v>
      </c>
      <c r="C1501">
        <v>0.03</v>
      </c>
      <c r="D1501">
        <v>2.2999999999999998</v>
      </c>
      <c r="E1501">
        <v>5.3999999999999999E-2</v>
      </c>
      <c r="F1501">
        <v>7</v>
      </c>
      <c r="G1501">
        <v>16</v>
      </c>
      <c r="H1501">
        <v>0.99507999999999996</v>
      </c>
      <c r="I1501">
        <v>3.45</v>
      </c>
      <c r="J1501">
        <v>0.63</v>
      </c>
      <c r="K1501">
        <v>11.5</v>
      </c>
      <c r="L1501">
        <v>6</v>
      </c>
      <c r="M1501" t="str">
        <f t="shared" si="25"/>
        <v>Medium</v>
      </c>
    </row>
    <row r="1502" spans="1:13" x14ac:dyDescent="0.35">
      <c r="A1502">
        <v>7.5</v>
      </c>
      <c r="B1502">
        <v>0.72499999999999998</v>
      </c>
      <c r="C1502">
        <v>0.04</v>
      </c>
      <c r="D1502">
        <v>1.5</v>
      </c>
      <c r="E1502">
        <v>7.5999999999999998E-2</v>
      </c>
      <c r="F1502">
        <v>8</v>
      </c>
      <c r="G1502">
        <v>15</v>
      </c>
      <c r="H1502">
        <v>0.99507999999999996</v>
      </c>
      <c r="I1502">
        <v>3.26</v>
      </c>
      <c r="J1502">
        <v>0.53</v>
      </c>
      <c r="K1502">
        <v>9.6</v>
      </c>
      <c r="L1502">
        <v>5</v>
      </c>
      <c r="M1502" t="str">
        <f t="shared" si="25"/>
        <v>Medium</v>
      </c>
    </row>
    <row r="1503" spans="1:13" x14ac:dyDescent="0.35">
      <c r="A1503">
        <v>7.8</v>
      </c>
      <c r="B1503">
        <v>0.82</v>
      </c>
      <c r="C1503">
        <v>0.28999999999999998</v>
      </c>
      <c r="D1503">
        <v>4.3</v>
      </c>
      <c r="E1503">
        <v>8.3000000000000004E-2</v>
      </c>
      <c r="F1503">
        <v>21</v>
      </c>
      <c r="G1503">
        <v>64</v>
      </c>
      <c r="H1503">
        <v>0.99641999999999997</v>
      </c>
      <c r="I1503">
        <v>3.16</v>
      </c>
      <c r="J1503">
        <v>0.53</v>
      </c>
      <c r="K1503">
        <v>9.4</v>
      </c>
      <c r="L1503">
        <v>5</v>
      </c>
      <c r="M1503" t="str">
        <f t="shared" si="25"/>
        <v>Medium</v>
      </c>
    </row>
    <row r="1504" spans="1:13" x14ac:dyDescent="0.35">
      <c r="A1504">
        <v>7.3</v>
      </c>
      <c r="B1504">
        <v>0.58499999999999996</v>
      </c>
      <c r="C1504">
        <v>0.18</v>
      </c>
      <c r="D1504">
        <v>2.4</v>
      </c>
      <c r="E1504">
        <v>7.8E-2</v>
      </c>
      <c r="F1504">
        <v>15</v>
      </c>
      <c r="G1504">
        <v>60</v>
      </c>
      <c r="H1504">
        <v>0.99638000000000004</v>
      </c>
      <c r="I1504">
        <v>3.31</v>
      </c>
      <c r="J1504">
        <v>0.54</v>
      </c>
      <c r="K1504">
        <v>9.8000000000000007</v>
      </c>
      <c r="L1504">
        <v>5</v>
      </c>
      <c r="M1504" t="str">
        <f t="shared" si="25"/>
        <v>Medium</v>
      </c>
    </row>
    <row r="1505" spans="1:13" x14ac:dyDescent="0.35">
      <c r="A1505">
        <v>6.2</v>
      </c>
      <c r="B1505">
        <v>0.44</v>
      </c>
      <c r="C1505">
        <v>0.39</v>
      </c>
      <c r="D1505">
        <v>2.5</v>
      </c>
      <c r="E1505">
        <v>7.6999999999999999E-2</v>
      </c>
      <c r="F1505">
        <v>6</v>
      </c>
      <c r="G1505">
        <v>14</v>
      </c>
      <c r="H1505">
        <v>0.99555000000000005</v>
      </c>
      <c r="I1505">
        <v>3.51</v>
      </c>
      <c r="J1505">
        <v>0.69</v>
      </c>
      <c r="K1505">
        <v>11</v>
      </c>
      <c r="L1505">
        <v>6</v>
      </c>
      <c r="M1505" t="str">
        <f t="shared" si="25"/>
        <v>Medium</v>
      </c>
    </row>
    <row r="1506" spans="1:13" x14ac:dyDescent="0.35">
      <c r="A1506">
        <v>7.5</v>
      </c>
      <c r="B1506">
        <v>0.38</v>
      </c>
      <c r="C1506">
        <v>0.56999999999999995</v>
      </c>
      <c r="D1506">
        <v>2.2999999999999998</v>
      </c>
      <c r="E1506">
        <v>0.106</v>
      </c>
      <c r="F1506">
        <v>5</v>
      </c>
      <c r="G1506">
        <v>12</v>
      </c>
      <c r="H1506">
        <v>0.99604999999999999</v>
      </c>
      <c r="I1506">
        <v>3.36</v>
      </c>
      <c r="J1506">
        <v>0.55000000000000004</v>
      </c>
      <c r="K1506">
        <v>11.4</v>
      </c>
      <c r="L1506">
        <v>6</v>
      </c>
      <c r="M1506" t="str">
        <f t="shared" si="25"/>
        <v>Medium</v>
      </c>
    </row>
    <row r="1507" spans="1:13" x14ac:dyDescent="0.35">
      <c r="A1507">
        <v>6.7</v>
      </c>
      <c r="B1507">
        <v>0.76</v>
      </c>
      <c r="C1507">
        <v>0.02</v>
      </c>
      <c r="D1507">
        <v>1.8</v>
      </c>
      <c r="E1507">
        <v>7.8E-2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9.9499999999999993</v>
      </c>
      <c r="L1507">
        <v>3</v>
      </c>
      <c r="M1507" t="str">
        <f t="shared" si="25"/>
        <v>Low</v>
      </c>
    </row>
    <row r="1508" spans="1:13" x14ac:dyDescent="0.35">
      <c r="A1508">
        <v>6.8</v>
      </c>
      <c r="B1508">
        <v>0.81</v>
      </c>
      <c r="C1508">
        <v>0.05</v>
      </c>
      <c r="D1508">
        <v>2</v>
      </c>
      <c r="E1508">
        <v>7.0000000000000007E-2</v>
      </c>
      <c r="F1508">
        <v>6</v>
      </c>
      <c r="G1508">
        <v>14</v>
      </c>
      <c r="H1508">
        <v>0.99561999999999995</v>
      </c>
      <c r="I1508">
        <v>3.51</v>
      </c>
      <c r="J1508">
        <v>0.66</v>
      </c>
      <c r="K1508">
        <v>10.8</v>
      </c>
      <c r="L1508">
        <v>6</v>
      </c>
      <c r="M1508" t="str">
        <f t="shared" si="25"/>
        <v>Medium</v>
      </c>
    </row>
    <row r="1509" spans="1:13" x14ac:dyDescent="0.35">
      <c r="A1509">
        <v>7.5</v>
      </c>
      <c r="B1509">
        <v>0.38</v>
      </c>
      <c r="C1509">
        <v>0.56999999999999995</v>
      </c>
      <c r="D1509">
        <v>2.2999999999999998</v>
      </c>
      <c r="E1509">
        <v>0.106</v>
      </c>
      <c r="F1509">
        <v>5</v>
      </c>
      <c r="G1509">
        <v>12</v>
      </c>
      <c r="H1509">
        <v>0.99604999999999999</v>
      </c>
      <c r="I1509">
        <v>3.36</v>
      </c>
      <c r="J1509">
        <v>0.55000000000000004</v>
      </c>
      <c r="K1509">
        <v>11.4</v>
      </c>
      <c r="L1509">
        <v>6</v>
      </c>
      <c r="M1509" t="str">
        <f t="shared" si="25"/>
        <v>Medium</v>
      </c>
    </row>
    <row r="1510" spans="1:13" x14ac:dyDescent="0.35">
      <c r="A1510">
        <v>7.1</v>
      </c>
      <c r="B1510">
        <v>0.27</v>
      </c>
      <c r="C1510">
        <v>0.6</v>
      </c>
      <c r="D1510">
        <v>2.1</v>
      </c>
      <c r="E1510">
        <v>7.3999999999999996E-2</v>
      </c>
      <c r="F1510">
        <v>17</v>
      </c>
      <c r="G1510">
        <v>25</v>
      </c>
      <c r="H1510">
        <v>0.99814000000000003</v>
      </c>
      <c r="I1510">
        <v>3.38</v>
      </c>
      <c r="J1510">
        <v>0.72</v>
      </c>
      <c r="K1510">
        <v>10.6</v>
      </c>
      <c r="L1510">
        <v>6</v>
      </c>
      <c r="M1510" t="str">
        <f t="shared" si="25"/>
        <v>Medium</v>
      </c>
    </row>
    <row r="1511" spans="1:13" x14ac:dyDescent="0.35">
      <c r="A1511">
        <v>7.9</v>
      </c>
      <c r="B1511">
        <v>0.18</v>
      </c>
      <c r="C1511">
        <v>0.4</v>
      </c>
      <c r="D1511">
        <v>1.8</v>
      </c>
      <c r="E1511">
        <v>6.2E-2</v>
      </c>
      <c r="F1511">
        <v>7</v>
      </c>
      <c r="G1511">
        <v>20</v>
      </c>
      <c r="H1511">
        <v>0.99409999999999998</v>
      </c>
      <c r="I1511">
        <v>3.28</v>
      </c>
      <c r="J1511">
        <v>0.7</v>
      </c>
      <c r="K1511">
        <v>11.1</v>
      </c>
      <c r="L1511">
        <v>5</v>
      </c>
      <c r="M1511" t="str">
        <f t="shared" si="25"/>
        <v>Medium</v>
      </c>
    </row>
    <row r="1512" spans="1:13" x14ac:dyDescent="0.35">
      <c r="A1512">
        <v>6.4</v>
      </c>
      <c r="B1512">
        <v>0.36</v>
      </c>
      <c r="C1512">
        <v>0.21</v>
      </c>
      <c r="D1512">
        <v>2.2000000000000002</v>
      </c>
      <c r="E1512">
        <v>4.7E-2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9.6999999999999993</v>
      </c>
      <c r="L1512">
        <v>6</v>
      </c>
      <c r="M1512" t="str">
        <f t="shared" si="25"/>
        <v>Medium</v>
      </c>
    </row>
    <row r="1513" spans="1:13" x14ac:dyDescent="0.35">
      <c r="A1513">
        <v>7.1</v>
      </c>
      <c r="B1513">
        <v>0.69</v>
      </c>
      <c r="C1513">
        <v>0.04</v>
      </c>
      <c r="D1513">
        <v>2.1</v>
      </c>
      <c r="E1513">
        <v>6.8000000000000005E-2</v>
      </c>
      <c r="F1513">
        <v>19</v>
      </c>
      <c r="G1513">
        <v>27</v>
      </c>
      <c r="H1513">
        <v>0.99712000000000001</v>
      </c>
      <c r="I1513">
        <v>3.44</v>
      </c>
      <c r="J1513">
        <v>0.67</v>
      </c>
      <c r="K1513">
        <v>9.8000000000000007</v>
      </c>
      <c r="L1513">
        <v>5</v>
      </c>
      <c r="M1513" t="str">
        <f t="shared" si="25"/>
        <v>Medium</v>
      </c>
    </row>
    <row r="1514" spans="1:13" x14ac:dyDescent="0.35">
      <c r="A1514">
        <v>6.4</v>
      </c>
      <c r="B1514">
        <v>0.79</v>
      </c>
      <c r="C1514">
        <v>0.04</v>
      </c>
      <c r="D1514">
        <v>2.2000000000000002</v>
      </c>
      <c r="E1514">
        <v>6.0999999999999999E-2</v>
      </c>
      <c r="F1514">
        <v>11</v>
      </c>
      <c r="G1514">
        <v>17</v>
      </c>
      <c r="H1514">
        <v>0.99587999999999999</v>
      </c>
      <c r="I1514">
        <v>3.53</v>
      </c>
      <c r="J1514">
        <v>0.65</v>
      </c>
      <c r="K1514">
        <v>10.4</v>
      </c>
      <c r="L1514">
        <v>6</v>
      </c>
      <c r="M1514" t="str">
        <f t="shared" si="25"/>
        <v>Medium</v>
      </c>
    </row>
    <row r="1515" spans="1:13" x14ac:dyDescent="0.35">
      <c r="A1515">
        <v>6.4</v>
      </c>
      <c r="B1515">
        <v>0.56000000000000005</v>
      </c>
      <c r="C1515">
        <v>0.15</v>
      </c>
      <c r="D1515">
        <v>1.8</v>
      </c>
      <c r="E1515">
        <v>7.8E-2</v>
      </c>
      <c r="F1515">
        <v>17</v>
      </c>
      <c r="G1515">
        <v>65</v>
      </c>
      <c r="H1515">
        <v>0.99294000000000004</v>
      </c>
      <c r="I1515">
        <v>3.33</v>
      </c>
      <c r="J1515">
        <v>0.6</v>
      </c>
      <c r="K1515">
        <v>10.5</v>
      </c>
      <c r="L1515">
        <v>6</v>
      </c>
      <c r="M1515" t="str">
        <f t="shared" si="25"/>
        <v>Medium</v>
      </c>
    </row>
    <row r="1516" spans="1:13" x14ac:dyDescent="0.35">
      <c r="A1516">
        <v>6.9</v>
      </c>
      <c r="B1516">
        <v>0.84</v>
      </c>
      <c r="C1516">
        <v>0.21</v>
      </c>
      <c r="D1516">
        <v>4.0999999999999996</v>
      </c>
      <c r="E1516">
        <v>7.3999999999999996E-2</v>
      </c>
      <c r="F1516">
        <v>16</v>
      </c>
      <c r="G1516">
        <v>65</v>
      </c>
      <c r="H1516">
        <v>0.99841999999999997</v>
      </c>
      <c r="I1516">
        <v>3.53</v>
      </c>
      <c r="J1516">
        <v>0.72</v>
      </c>
      <c r="K1516">
        <v>9.2333333333333307</v>
      </c>
      <c r="L1516">
        <v>6</v>
      </c>
      <c r="M1516" t="str">
        <f t="shared" si="25"/>
        <v>Medium</v>
      </c>
    </row>
    <row r="1517" spans="1:13" x14ac:dyDescent="0.35">
      <c r="A1517">
        <v>6.9</v>
      </c>
      <c r="B1517">
        <v>0.84</v>
      </c>
      <c r="C1517">
        <v>0.21</v>
      </c>
      <c r="D1517">
        <v>4.0999999999999996</v>
      </c>
      <c r="E1517">
        <v>7.3999999999999996E-2</v>
      </c>
      <c r="F1517">
        <v>16</v>
      </c>
      <c r="G1517">
        <v>65</v>
      </c>
      <c r="H1517">
        <v>0.99841999999999997</v>
      </c>
      <c r="I1517">
        <v>3.53</v>
      </c>
      <c r="J1517">
        <v>0.72</v>
      </c>
      <c r="K1517">
        <v>9.25</v>
      </c>
      <c r="L1517">
        <v>6</v>
      </c>
      <c r="M1517" t="str">
        <f t="shared" si="25"/>
        <v>Medium</v>
      </c>
    </row>
    <row r="1518" spans="1:13" x14ac:dyDescent="0.35">
      <c r="A1518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0.99633000000000005</v>
      </c>
      <c r="I1518">
        <v>3.42</v>
      </c>
      <c r="J1518">
        <v>0.97</v>
      </c>
      <c r="K1518">
        <v>10.6</v>
      </c>
      <c r="L1518">
        <v>5</v>
      </c>
      <c r="M1518" t="str">
        <f t="shared" si="25"/>
        <v>Medium</v>
      </c>
    </row>
    <row r="1519" spans="1:13" x14ac:dyDescent="0.35">
      <c r="A1519">
        <v>6.5</v>
      </c>
      <c r="B1519">
        <v>0.53</v>
      </c>
      <c r="C1519">
        <v>0.06</v>
      </c>
      <c r="D1519">
        <v>2</v>
      </c>
      <c r="E1519">
        <v>6.3E-2</v>
      </c>
      <c r="F1519">
        <v>29</v>
      </c>
      <c r="G1519">
        <v>44</v>
      </c>
      <c r="H1519">
        <v>0.99489000000000005</v>
      </c>
      <c r="I1519">
        <v>3.38</v>
      </c>
      <c r="J1519">
        <v>0.83</v>
      </c>
      <c r="K1519">
        <v>10.3</v>
      </c>
      <c r="L1519">
        <v>6</v>
      </c>
      <c r="M1519" t="str">
        <f t="shared" si="25"/>
        <v>Medium</v>
      </c>
    </row>
    <row r="1520" spans="1:13" x14ac:dyDescent="0.35">
      <c r="A1520">
        <v>7.4</v>
      </c>
      <c r="B1520">
        <v>0.47</v>
      </c>
      <c r="C1520">
        <v>0.46</v>
      </c>
      <c r="D1520">
        <v>2.2000000000000002</v>
      </c>
      <c r="E1520">
        <v>0.114</v>
      </c>
      <c r="F1520">
        <v>7</v>
      </c>
      <c r="G1520">
        <v>20</v>
      </c>
      <c r="H1520">
        <v>0.99646999999999997</v>
      </c>
      <c r="I1520">
        <v>3.32</v>
      </c>
      <c r="J1520">
        <v>0.63</v>
      </c>
      <c r="K1520">
        <v>10.5</v>
      </c>
      <c r="L1520">
        <v>5</v>
      </c>
      <c r="M1520" t="str">
        <f t="shared" si="25"/>
        <v>Medium</v>
      </c>
    </row>
    <row r="1521" spans="1:13" x14ac:dyDescent="0.35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0.99665000000000004</v>
      </c>
      <c r="I1521">
        <v>3.44</v>
      </c>
      <c r="J1521">
        <v>0.57999999999999996</v>
      </c>
      <c r="K1521">
        <v>10.199999999999999</v>
      </c>
      <c r="L1521">
        <v>5</v>
      </c>
      <c r="M1521" t="str">
        <f t="shared" si="25"/>
        <v>Medium</v>
      </c>
    </row>
    <row r="1522" spans="1:13" x14ac:dyDescent="0.35">
      <c r="A1522">
        <v>6.5</v>
      </c>
      <c r="B1522">
        <v>0.53</v>
      </c>
      <c r="C1522">
        <v>0.06</v>
      </c>
      <c r="D1522">
        <v>2</v>
      </c>
      <c r="E1522">
        <v>6.3E-2</v>
      </c>
      <c r="F1522">
        <v>29</v>
      </c>
      <c r="G1522">
        <v>44</v>
      </c>
      <c r="H1522">
        <v>0.99489000000000005</v>
      </c>
      <c r="I1522">
        <v>3.38</v>
      </c>
      <c r="J1522">
        <v>0.83</v>
      </c>
      <c r="K1522">
        <v>10.3</v>
      </c>
      <c r="L1522">
        <v>6</v>
      </c>
      <c r="M1522" t="str">
        <f t="shared" si="25"/>
        <v>Medium</v>
      </c>
    </row>
    <row r="1523" spans="1:13" x14ac:dyDescent="0.35">
      <c r="A1523">
        <v>6.9</v>
      </c>
      <c r="B1523">
        <v>0.48</v>
      </c>
      <c r="C1523">
        <v>0.2</v>
      </c>
      <c r="D1523">
        <v>1.9</v>
      </c>
      <c r="E1523">
        <v>8.2000000000000003E-2</v>
      </c>
      <c r="F1523">
        <v>9</v>
      </c>
      <c r="G1523">
        <v>23</v>
      </c>
      <c r="H1523">
        <v>0.99585000000000001</v>
      </c>
      <c r="I1523">
        <v>3.39</v>
      </c>
      <c r="J1523">
        <v>0.43</v>
      </c>
      <c r="K1523">
        <v>9.0500000000000007</v>
      </c>
      <c r="L1523">
        <v>4</v>
      </c>
      <c r="M1523" t="str">
        <f t="shared" si="25"/>
        <v>Low</v>
      </c>
    </row>
    <row r="1524" spans="1:13" x14ac:dyDescent="0.35">
      <c r="A1524">
        <v>6.1</v>
      </c>
      <c r="B1524">
        <v>0.32</v>
      </c>
      <c r="C1524">
        <v>0.25</v>
      </c>
      <c r="D1524">
        <v>2.2999999999999998</v>
      </c>
      <c r="E1524">
        <v>7.0999999999999994E-2</v>
      </c>
      <c r="F1524">
        <v>23</v>
      </c>
      <c r="G1524">
        <v>58</v>
      </c>
      <c r="H1524">
        <v>0.99633000000000005</v>
      </c>
      <c r="I1524">
        <v>3.42</v>
      </c>
      <c r="J1524">
        <v>0.97</v>
      </c>
      <c r="K1524">
        <v>10.6</v>
      </c>
      <c r="L1524">
        <v>5</v>
      </c>
      <c r="M1524" t="str">
        <f t="shared" si="25"/>
        <v>Medium</v>
      </c>
    </row>
    <row r="1525" spans="1:13" x14ac:dyDescent="0.35">
      <c r="A1525">
        <v>6.8</v>
      </c>
      <c r="B1525">
        <v>0.48</v>
      </c>
      <c r="C1525">
        <v>0.25</v>
      </c>
      <c r="D1525">
        <v>2</v>
      </c>
      <c r="E1525">
        <v>7.5999999999999998E-2</v>
      </c>
      <c r="F1525">
        <v>29</v>
      </c>
      <c r="G1525">
        <v>61</v>
      </c>
      <c r="H1525">
        <v>0.99529999999999996</v>
      </c>
      <c r="I1525">
        <v>3.34</v>
      </c>
      <c r="J1525">
        <v>0.6</v>
      </c>
      <c r="K1525">
        <v>10.4</v>
      </c>
      <c r="L1525">
        <v>5</v>
      </c>
      <c r="M1525" t="str">
        <f t="shared" si="25"/>
        <v>Medium</v>
      </c>
    </row>
    <row r="1526" spans="1:13" x14ac:dyDescent="0.35">
      <c r="A1526">
        <v>6</v>
      </c>
      <c r="B1526">
        <v>0.42</v>
      </c>
      <c r="C1526">
        <v>0.19</v>
      </c>
      <c r="D1526">
        <v>2</v>
      </c>
      <c r="E1526">
        <v>7.4999999999999997E-2</v>
      </c>
      <c r="F1526">
        <v>22</v>
      </c>
      <c r="G1526">
        <v>47</v>
      </c>
      <c r="H1526">
        <v>0.99521999999999999</v>
      </c>
      <c r="I1526">
        <v>3.39</v>
      </c>
      <c r="J1526">
        <v>0.78</v>
      </c>
      <c r="K1526">
        <v>10</v>
      </c>
      <c r="L1526">
        <v>6</v>
      </c>
      <c r="M1526" t="str">
        <f t="shared" si="25"/>
        <v>Medium</v>
      </c>
    </row>
    <row r="1527" spans="1:13" x14ac:dyDescent="0.35">
      <c r="A1527">
        <v>6.7</v>
      </c>
      <c r="B1527">
        <v>0.48</v>
      </c>
      <c r="C1527">
        <v>0.08</v>
      </c>
      <c r="D1527">
        <v>2.1</v>
      </c>
      <c r="E1527">
        <v>6.4000000000000001E-2</v>
      </c>
      <c r="F1527">
        <v>18</v>
      </c>
      <c r="G1527">
        <v>34</v>
      </c>
      <c r="H1527">
        <v>0.99551999999999996</v>
      </c>
      <c r="I1527">
        <v>3.33</v>
      </c>
      <c r="J1527">
        <v>0.64</v>
      </c>
      <c r="K1527">
        <v>9.6999999999999993</v>
      </c>
      <c r="L1527">
        <v>5</v>
      </c>
      <c r="M1527" t="str">
        <f t="shared" si="25"/>
        <v>Medium</v>
      </c>
    </row>
    <row r="1528" spans="1:13" x14ac:dyDescent="0.35">
      <c r="A1528">
        <v>6.8</v>
      </c>
      <c r="B1528">
        <v>0.47</v>
      </c>
      <c r="C1528">
        <v>0.08</v>
      </c>
      <c r="D1528">
        <v>2.2000000000000002</v>
      </c>
      <c r="E1528">
        <v>6.4000000000000001E-2</v>
      </c>
      <c r="F1528">
        <v>18</v>
      </c>
      <c r="G1528">
        <v>38</v>
      </c>
      <c r="H1528">
        <v>0.99553000000000003</v>
      </c>
      <c r="I1528">
        <v>3.3</v>
      </c>
      <c r="J1528">
        <v>0.65</v>
      </c>
      <c r="K1528">
        <v>9.6</v>
      </c>
      <c r="L1528">
        <v>6</v>
      </c>
      <c r="M1528" t="str">
        <f t="shared" si="25"/>
        <v>Medium</v>
      </c>
    </row>
    <row r="1529" spans="1:13" x14ac:dyDescent="0.35">
      <c r="A1529">
        <v>7.1</v>
      </c>
      <c r="B1529">
        <v>0.53</v>
      </c>
      <c r="C1529">
        <v>7.0000000000000007E-2</v>
      </c>
      <c r="D1529">
        <v>1.7</v>
      </c>
      <c r="E1529">
        <v>7.0999999999999994E-2</v>
      </c>
      <c r="F1529">
        <v>15</v>
      </c>
      <c r="G1529">
        <v>24</v>
      </c>
      <c r="H1529">
        <v>0.99509999999999998</v>
      </c>
      <c r="I1529">
        <v>3.29</v>
      </c>
      <c r="J1529">
        <v>0.66</v>
      </c>
      <c r="K1529">
        <v>10.8</v>
      </c>
      <c r="L1529">
        <v>6</v>
      </c>
      <c r="M1529" t="str">
        <f t="shared" si="25"/>
        <v>Medium</v>
      </c>
    </row>
    <row r="1530" spans="1:13" x14ac:dyDescent="0.35">
      <c r="A1530">
        <v>7.9</v>
      </c>
      <c r="B1530">
        <v>0.28999999999999998</v>
      </c>
      <c r="C1530">
        <v>0.49</v>
      </c>
      <c r="D1530">
        <v>2.2000000000000002</v>
      </c>
      <c r="E1530">
        <v>9.6000000000000002E-2</v>
      </c>
      <c r="F1530">
        <v>21</v>
      </c>
      <c r="G1530">
        <v>59</v>
      </c>
      <c r="H1530">
        <v>0.99714000000000003</v>
      </c>
      <c r="I1530">
        <v>3.31</v>
      </c>
      <c r="J1530">
        <v>0.67</v>
      </c>
      <c r="K1530">
        <v>10.1</v>
      </c>
      <c r="L1530">
        <v>6</v>
      </c>
      <c r="M1530" t="str">
        <f t="shared" si="25"/>
        <v>Medium</v>
      </c>
    </row>
    <row r="1531" spans="1:13" x14ac:dyDescent="0.35">
      <c r="A1531">
        <v>7.1</v>
      </c>
      <c r="B1531">
        <v>0.69</v>
      </c>
      <c r="C1531">
        <v>0.08</v>
      </c>
      <c r="D1531">
        <v>2.1</v>
      </c>
      <c r="E1531">
        <v>6.3E-2</v>
      </c>
      <c r="F1531">
        <v>42</v>
      </c>
      <c r="G1531">
        <v>52</v>
      </c>
      <c r="H1531">
        <v>0.99607999999999997</v>
      </c>
      <c r="I1531">
        <v>3.42</v>
      </c>
      <c r="J1531">
        <v>0.6</v>
      </c>
      <c r="K1531">
        <v>10.199999999999999</v>
      </c>
      <c r="L1531">
        <v>6</v>
      </c>
      <c r="M1531" t="str">
        <f t="shared" si="25"/>
        <v>Medium</v>
      </c>
    </row>
    <row r="1532" spans="1:13" x14ac:dyDescent="0.35">
      <c r="A1532">
        <v>6.6</v>
      </c>
      <c r="B1532">
        <v>0.44</v>
      </c>
      <c r="C1532">
        <v>0.09</v>
      </c>
      <c r="D1532">
        <v>2.2000000000000002</v>
      </c>
      <c r="E1532">
        <v>6.3E-2</v>
      </c>
      <c r="F1532">
        <v>9</v>
      </c>
      <c r="G1532">
        <v>18</v>
      </c>
      <c r="H1532">
        <v>0.99443999999999999</v>
      </c>
      <c r="I1532">
        <v>3.42</v>
      </c>
      <c r="J1532">
        <v>0.69</v>
      </c>
      <c r="K1532">
        <v>11.3</v>
      </c>
      <c r="L1532">
        <v>6</v>
      </c>
      <c r="M1532" t="str">
        <f t="shared" si="25"/>
        <v>Medium</v>
      </c>
    </row>
    <row r="1533" spans="1:13" x14ac:dyDescent="0.35">
      <c r="A1533">
        <v>6.1</v>
      </c>
      <c r="B1533">
        <v>0.70499999999999996</v>
      </c>
      <c r="C1533">
        <v>0.1</v>
      </c>
      <c r="D1533">
        <v>2.8</v>
      </c>
      <c r="E1533">
        <v>8.1000000000000003E-2</v>
      </c>
      <c r="F1533">
        <v>13</v>
      </c>
      <c r="G1533">
        <v>28</v>
      </c>
      <c r="H1533">
        <v>0.99631000000000003</v>
      </c>
      <c r="I1533">
        <v>3.6</v>
      </c>
      <c r="J1533">
        <v>0.66</v>
      </c>
      <c r="K1533">
        <v>10.199999999999999</v>
      </c>
      <c r="L1533">
        <v>5</v>
      </c>
      <c r="M1533" t="str">
        <f t="shared" si="25"/>
        <v>Medium</v>
      </c>
    </row>
    <row r="1534" spans="1:13" x14ac:dyDescent="0.35">
      <c r="A1534">
        <v>7.2</v>
      </c>
      <c r="B1534">
        <v>0.53</v>
      </c>
      <c r="C1534">
        <v>0.13</v>
      </c>
      <c r="D1534">
        <v>2</v>
      </c>
      <c r="E1534">
        <v>5.8000000000000003E-2</v>
      </c>
      <c r="F1534">
        <v>18</v>
      </c>
      <c r="G1534">
        <v>22</v>
      </c>
      <c r="H1534">
        <v>0.99573</v>
      </c>
      <c r="I1534">
        <v>3.21</v>
      </c>
      <c r="J1534">
        <v>0.68</v>
      </c>
      <c r="K1534">
        <v>9.9</v>
      </c>
      <c r="L1534">
        <v>6</v>
      </c>
      <c r="M1534" t="str">
        <f t="shared" si="25"/>
        <v>Medium</v>
      </c>
    </row>
    <row r="1535" spans="1:13" x14ac:dyDescent="0.35">
      <c r="A1535">
        <v>8</v>
      </c>
      <c r="B1535">
        <v>0.39</v>
      </c>
      <c r="C1535">
        <v>0.3</v>
      </c>
      <c r="D1535">
        <v>1.9</v>
      </c>
      <c r="E1535">
        <v>7.3999999999999996E-2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5</v>
      </c>
      <c r="M1535" t="str">
        <f t="shared" si="25"/>
        <v>Medium</v>
      </c>
    </row>
    <row r="1536" spans="1:13" x14ac:dyDescent="0.35">
      <c r="A1536">
        <v>6.6</v>
      </c>
      <c r="B1536">
        <v>0.56000000000000005</v>
      </c>
      <c r="C1536">
        <v>0.14000000000000001</v>
      </c>
      <c r="D1536">
        <v>2.4</v>
      </c>
      <c r="E1536">
        <v>6.4000000000000001E-2</v>
      </c>
      <c r="F1536">
        <v>13</v>
      </c>
      <c r="G1536">
        <v>29</v>
      </c>
      <c r="H1536">
        <v>0.99397000000000002</v>
      </c>
      <c r="I1536">
        <v>3.42</v>
      </c>
      <c r="J1536">
        <v>0.62</v>
      </c>
      <c r="K1536">
        <v>11.7</v>
      </c>
      <c r="L1536">
        <v>7</v>
      </c>
      <c r="M1536" t="str">
        <f t="shared" si="25"/>
        <v>High</v>
      </c>
    </row>
    <row r="1537" spans="1:13" x14ac:dyDescent="0.35">
      <c r="A1537">
        <v>7</v>
      </c>
      <c r="B1537">
        <v>0.55000000000000004</v>
      </c>
      <c r="C1537">
        <v>0.13</v>
      </c>
      <c r="D1537">
        <v>2.2000000000000002</v>
      </c>
      <c r="E1537">
        <v>7.4999999999999997E-2</v>
      </c>
      <c r="F1537">
        <v>15</v>
      </c>
      <c r="G1537">
        <v>35</v>
      </c>
      <c r="H1537">
        <v>0.99590000000000001</v>
      </c>
      <c r="I1537">
        <v>3.36</v>
      </c>
      <c r="J1537">
        <v>0.59</v>
      </c>
      <c r="K1537">
        <v>9.6999999999999993</v>
      </c>
      <c r="L1537">
        <v>6</v>
      </c>
      <c r="M1537" t="str">
        <f t="shared" si="25"/>
        <v>Medium</v>
      </c>
    </row>
    <row r="1538" spans="1:13" x14ac:dyDescent="0.35">
      <c r="A1538">
        <v>6.1</v>
      </c>
      <c r="B1538">
        <v>0.53</v>
      </c>
      <c r="C1538">
        <v>0.08</v>
      </c>
      <c r="D1538">
        <v>1.9</v>
      </c>
      <c r="E1538">
        <v>7.6999999999999999E-2</v>
      </c>
      <c r="F1538">
        <v>24</v>
      </c>
      <c r="G1538">
        <v>45</v>
      </c>
      <c r="H1538">
        <v>0.99528000000000005</v>
      </c>
      <c r="I1538">
        <v>3.6</v>
      </c>
      <c r="J1538">
        <v>0.68</v>
      </c>
      <c r="K1538">
        <v>10.3</v>
      </c>
      <c r="L1538">
        <v>6</v>
      </c>
      <c r="M1538" t="str">
        <f t="shared" si="25"/>
        <v>Medium</v>
      </c>
    </row>
    <row r="1539" spans="1:13" x14ac:dyDescent="0.35">
      <c r="A1539">
        <v>5.4</v>
      </c>
      <c r="B1539">
        <v>0.57999999999999996</v>
      </c>
      <c r="C1539">
        <v>0.08</v>
      </c>
      <c r="D1539">
        <v>1.9</v>
      </c>
      <c r="E1539">
        <v>5.8999999999999997E-2</v>
      </c>
      <c r="F1539">
        <v>20</v>
      </c>
      <c r="G1539">
        <v>31</v>
      </c>
      <c r="H1539">
        <v>0.99483999999999995</v>
      </c>
      <c r="I1539">
        <v>3.5</v>
      </c>
      <c r="J1539">
        <v>0.64</v>
      </c>
      <c r="K1539">
        <v>10.199999999999999</v>
      </c>
      <c r="L1539">
        <v>6</v>
      </c>
      <c r="M1539" t="str">
        <f t="shared" ref="M1539:M1600" si="26">IF(L1539&gt;=7,"High",IF(L1539&gt;=5,"Medium","Low"))</f>
        <v>Medium</v>
      </c>
    </row>
    <row r="1540" spans="1:13" x14ac:dyDescent="0.35">
      <c r="A1540">
        <v>6.2</v>
      </c>
      <c r="B1540">
        <v>0.64</v>
      </c>
      <c r="C1540">
        <v>0.09</v>
      </c>
      <c r="D1540">
        <v>2.5</v>
      </c>
      <c r="E1540">
        <v>8.1000000000000003E-2</v>
      </c>
      <c r="F1540">
        <v>15</v>
      </c>
      <c r="G1540">
        <v>26</v>
      </c>
      <c r="H1540">
        <v>0.99538000000000004</v>
      </c>
      <c r="I1540">
        <v>3.57</v>
      </c>
      <c r="J1540">
        <v>0.63</v>
      </c>
      <c r="K1540">
        <v>12</v>
      </c>
      <c r="L1540">
        <v>5</v>
      </c>
      <c r="M1540" t="str">
        <f t="shared" si="26"/>
        <v>Medium</v>
      </c>
    </row>
    <row r="1541" spans="1:13" x14ac:dyDescent="0.35">
      <c r="A1541">
        <v>7.2</v>
      </c>
      <c r="B1541">
        <v>0.39</v>
      </c>
      <c r="C1541">
        <v>0.32</v>
      </c>
      <c r="D1541">
        <v>1.8</v>
      </c>
      <c r="E1541">
        <v>6.5000000000000002E-2</v>
      </c>
      <c r="F1541">
        <v>34</v>
      </c>
      <c r="G1541">
        <v>60</v>
      </c>
      <c r="H1541">
        <v>0.99714000000000003</v>
      </c>
      <c r="I1541">
        <v>3.46</v>
      </c>
      <c r="J1541">
        <v>0.78</v>
      </c>
      <c r="K1541">
        <v>9.9</v>
      </c>
      <c r="L1541">
        <v>5</v>
      </c>
      <c r="M1541" t="str">
        <f t="shared" si="26"/>
        <v>Medium</v>
      </c>
    </row>
    <row r="1542" spans="1:13" x14ac:dyDescent="0.35">
      <c r="A1542">
        <v>6.2</v>
      </c>
      <c r="B1542">
        <v>0.52</v>
      </c>
      <c r="C1542">
        <v>0.08</v>
      </c>
      <c r="D1542">
        <v>4.4000000000000004</v>
      </c>
      <c r="E1542">
        <v>7.0999999999999994E-2</v>
      </c>
      <c r="F1542">
        <v>11</v>
      </c>
      <c r="G1542">
        <v>32</v>
      </c>
      <c r="H1542">
        <v>0.99646000000000001</v>
      </c>
      <c r="I1542">
        <v>3.56</v>
      </c>
      <c r="J1542">
        <v>0.63</v>
      </c>
      <c r="K1542">
        <v>11.6</v>
      </c>
      <c r="L1542">
        <v>6</v>
      </c>
      <c r="M1542" t="str">
        <f t="shared" si="26"/>
        <v>Medium</v>
      </c>
    </row>
    <row r="1543" spans="1:13" x14ac:dyDescent="0.35">
      <c r="A1543">
        <v>7.4</v>
      </c>
      <c r="B1543">
        <v>0.25</v>
      </c>
      <c r="C1543">
        <v>0.28999999999999998</v>
      </c>
      <c r="D1543">
        <v>2.2000000000000002</v>
      </c>
      <c r="E1543">
        <v>5.3999999999999999E-2</v>
      </c>
      <c r="F1543">
        <v>19</v>
      </c>
      <c r="G1543">
        <v>49</v>
      </c>
      <c r="H1543">
        <v>0.99665999999999999</v>
      </c>
      <c r="I1543">
        <v>3.4</v>
      </c>
      <c r="J1543">
        <v>0.76</v>
      </c>
      <c r="K1543">
        <v>10.9</v>
      </c>
      <c r="L1543">
        <v>7</v>
      </c>
      <c r="M1543" t="str">
        <f t="shared" si="26"/>
        <v>High</v>
      </c>
    </row>
    <row r="1544" spans="1:13" x14ac:dyDescent="0.35">
      <c r="A1544">
        <v>6.7</v>
      </c>
      <c r="B1544">
        <v>0.85499999999999998</v>
      </c>
      <c r="C1544">
        <v>0.02</v>
      </c>
      <c r="D1544">
        <v>1.9</v>
      </c>
      <c r="E1544">
        <v>6.4000000000000001E-2</v>
      </c>
      <c r="F1544">
        <v>29</v>
      </c>
      <c r="G1544">
        <v>38</v>
      </c>
      <c r="H1544">
        <v>0.99472000000000005</v>
      </c>
      <c r="I1544">
        <v>3.3</v>
      </c>
      <c r="J1544">
        <v>0.56000000000000005</v>
      </c>
      <c r="K1544">
        <v>10.75</v>
      </c>
      <c r="L1544">
        <v>6</v>
      </c>
      <c r="M1544" t="str">
        <f t="shared" si="26"/>
        <v>Medium</v>
      </c>
    </row>
    <row r="1545" spans="1:13" x14ac:dyDescent="0.35">
      <c r="A1545">
        <v>11.1</v>
      </c>
      <c r="B1545">
        <v>0.44</v>
      </c>
      <c r="C1545">
        <v>0.42</v>
      </c>
      <c r="D1545">
        <v>2.2000000000000002</v>
      </c>
      <c r="E1545">
        <v>6.4000000000000001E-2</v>
      </c>
      <c r="F1545">
        <v>14</v>
      </c>
      <c r="G1545">
        <v>19</v>
      </c>
      <c r="H1545">
        <v>0.99758000000000002</v>
      </c>
      <c r="I1545">
        <v>3.25</v>
      </c>
      <c r="J1545">
        <v>0.56999999999999995</v>
      </c>
      <c r="K1545">
        <v>10.4</v>
      </c>
      <c r="L1545">
        <v>6</v>
      </c>
      <c r="M1545" t="str">
        <f t="shared" si="26"/>
        <v>Medium</v>
      </c>
    </row>
    <row r="1546" spans="1:13" x14ac:dyDescent="0.35">
      <c r="A1546">
        <v>8.4</v>
      </c>
      <c r="B1546">
        <v>0.37</v>
      </c>
      <c r="C1546">
        <v>0.43</v>
      </c>
      <c r="D1546">
        <v>2.2999999999999998</v>
      </c>
      <c r="E1546">
        <v>6.3E-2</v>
      </c>
      <c r="F1546">
        <v>12</v>
      </c>
      <c r="G1546">
        <v>19</v>
      </c>
      <c r="H1546">
        <v>0.99550000000000005</v>
      </c>
      <c r="I1546">
        <v>3.17</v>
      </c>
      <c r="J1546">
        <v>0.81</v>
      </c>
      <c r="K1546">
        <v>11.2</v>
      </c>
      <c r="L1546">
        <v>7</v>
      </c>
      <c r="M1546" t="str">
        <f t="shared" si="26"/>
        <v>High</v>
      </c>
    </row>
    <row r="1547" spans="1:13" x14ac:dyDescent="0.35">
      <c r="A1547">
        <v>6.5</v>
      </c>
      <c r="B1547">
        <v>0.63</v>
      </c>
      <c r="C1547">
        <v>0.33</v>
      </c>
      <c r="D1547">
        <v>1.8</v>
      </c>
      <c r="E1547">
        <v>5.8999999999999997E-2</v>
      </c>
      <c r="F1547">
        <v>16</v>
      </c>
      <c r="G1547">
        <v>28</v>
      </c>
      <c r="H1547">
        <v>0.99531000000000003</v>
      </c>
      <c r="I1547">
        <v>3.36</v>
      </c>
      <c r="J1547">
        <v>0.64</v>
      </c>
      <c r="K1547">
        <v>10.1</v>
      </c>
      <c r="L1547">
        <v>6</v>
      </c>
      <c r="M1547" t="str">
        <f t="shared" si="26"/>
        <v>Medium</v>
      </c>
    </row>
    <row r="1548" spans="1:13" x14ac:dyDescent="0.35">
      <c r="A1548">
        <v>7</v>
      </c>
      <c r="B1548">
        <v>0.56999999999999995</v>
      </c>
      <c r="C1548">
        <v>0.02</v>
      </c>
      <c r="D1548">
        <v>2</v>
      </c>
      <c r="E1548">
        <v>7.1999999999999995E-2</v>
      </c>
      <c r="F1548">
        <v>17</v>
      </c>
      <c r="G1548">
        <v>26</v>
      </c>
      <c r="H1548">
        <v>0.99575000000000002</v>
      </c>
      <c r="I1548">
        <v>3.36</v>
      </c>
      <c r="J1548">
        <v>0.61</v>
      </c>
      <c r="K1548">
        <v>10.199999999999999</v>
      </c>
      <c r="L1548">
        <v>5</v>
      </c>
      <c r="M1548" t="str">
        <f t="shared" si="26"/>
        <v>Medium</v>
      </c>
    </row>
    <row r="1549" spans="1:13" x14ac:dyDescent="0.35">
      <c r="A1549">
        <v>6.3</v>
      </c>
      <c r="B1549">
        <v>0.6</v>
      </c>
      <c r="C1549">
        <v>0.1</v>
      </c>
      <c r="D1549">
        <v>1.6</v>
      </c>
      <c r="E1549">
        <v>4.8000000000000001E-2</v>
      </c>
      <c r="F1549">
        <v>12</v>
      </c>
      <c r="G1549">
        <v>26</v>
      </c>
      <c r="H1549">
        <v>0.99306000000000005</v>
      </c>
      <c r="I1549">
        <v>3.55</v>
      </c>
      <c r="J1549">
        <v>0.51</v>
      </c>
      <c r="K1549">
        <v>12.1</v>
      </c>
      <c r="L1549">
        <v>5</v>
      </c>
      <c r="M1549" t="str">
        <f t="shared" si="26"/>
        <v>Medium</v>
      </c>
    </row>
    <row r="1550" spans="1:13" x14ac:dyDescent="0.35">
      <c r="A1550">
        <v>11.2</v>
      </c>
      <c r="B1550">
        <v>0.4</v>
      </c>
      <c r="C1550">
        <v>0.5</v>
      </c>
      <c r="D1550">
        <v>2</v>
      </c>
      <c r="E1550">
        <v>9.9000000000000005E-2</v>
      </c>
      <c r="F1550">
        <v>19</v>
      </c>
      <c r="G1550">
        <v>50</v>
      </c>
      <c r="H1550">
        <v>0.99782999999999999</v>
      </c>
      <c r="I1550">
        <v>3.1</v>
      </c>
      <c r="J1550">
        <v>0.57999999999999996</v>
      </c>
      <c r="K1550">
        <v>10.4</v>
      </c>
      <c r="L1550">
        <v>5</v>
      </c>
      <c r="M1550" t="str">
        <f t="shared" si="26"/>
        <v>Medium</v>
      </c>
    </row>
    <row r="1551" spans="1:13" x14ac:dyDescent="0.35">
      <c r="A1551">
        <v>7.4</v>
      </c>
      <c r="B1551">
        <v>0.36</v>
      </c>
      <c r="C1551">
        <v>0.3</v>
      </c>
      <c r="D1551">
        <v>1.8</v>
      </c>
      <c r="E1551">
        <v>7.3999999999999996E-2</v>
      </c>
      <c r="F1551">
        <v>17</v>
      </c>
      <c r="G1551">
        <v>24</v>
      </c>
      <c r="H1551">
        <v>0.99419000000000002</v>
      </c>
      <c r="I1551">
        <v>3.24</v>
      </c>
      <c r="J1551">
        <v>0.7</v>
      </c>
      <c r="K1551">
        <v>11.4</v>
      </c>
      <c r="L1551">
        <v>8</v>
      </c>
      <c r="M1551" t="str">
        <f t="shared" si="26"/>
        <v>High</v>
      </c>
    </row>
    <row r="1552" spans="1:13" x14ac:dyDescent="0.35">
      <c r="A1552">
        <v>7.1</v>
      </c>
      <c r="B1552">
        <v>0.68</v>
      </c>
      <c r="C1552">
        <v>0</v>
      </c>
      <c r="D1552">
        <v>2.2999999999999998</v>
      </c>
      <c r="E1552">
        <v>8.6999999999999994E-2</v>
      </c>
      <c r="F1552">
        <v>17</v>
      </c>
      <c r="G1552">
        <v>26</v>
      </c>
      <c r="H1552">
        <v>0.99782999999999999</v>
      </c>
      <c r="I1552">
        <v>3.45</v>
      </c>
      <c r="J1552">
        <v>0.53</v>
      </c>
      <c r="K1552">
        <v>9.5</v>
      </c>
      <c r="L1552">
        <v>5</v>
      </c>
      <c r="M1552" t="str">
        <f t="shared" si="26"/>
        <v>Medium</v>
      </c>
    </row>
    <row r="1553" spans="1:13" x14ac:dyDescent="0.35">
      <c r="A1553">
        <v>7.1</v>
      </c>
      <c r="B1553">
        <v>0.67</v>
      </c>
      <c r="C1553">
        <v>0</v>
      </c>
      <c r="D1553">
        <v>2.2999999999999998</v>
      </c>
      <c r="E1553">
        <v>8.3000000000000004E-2</v>
      </c>
      <c r="F1553">
        <v>18</v>
      </c>
      <c r="G1553">
        <v>27</v>
      </c>
      <c r="H1553">
        <v>0.99768000000000001</v>
      </c>
      <c r="I1553">
        <v>3.44</v>
      </c>
      <c r="J1553">
        <v>0.54</v>
      </c>
      <c r="K1553">
        <v>9.4</v>
      </c>
      <c r="L1553">
        <v>5</v>
      </c>
      <c r="M1553" t="str">
        <f t="shared" si="26"/>
        <v>Medium</v>
      </c>
    </row>
    <row r="1554" spans="1:13" x14ac:dyDescent="0.35">
      <c r="A1554">
        <v>6.3</v>
      </c>
      <c r="B1554">
        <v>0.68</v>
      </c>
      <c r="C1554">
        <v>0.01</v>
      </c>
      <c r="D1554">
        <v>3.7</v>
      </c>
      <c r="E1554">
        <v>0.10299999999999999</v>
      </c>
      <c r="F1554">
        <v>32</v>
      </c>
      <c r="G1554">
        <v>54</v>
      </c>
      <c r="H1554">
        <v>0.99585999999999997</v>
      </c>
      <c r="I1554">
        <v>3.51</v>
      </c>
      <c r="J1554">
        <v>0.66</v>
      </c>
      <c r="K1554">
        <v>11.3</v>
      </c>
      <c r="L1554">
        <v>6</v>
      </c>
      <c r="M1554" t="str">
        <f t="shared" si="26"/>
        <v>Medium</v>
      </c>
    </row>
    <row r="1555" spans="1:13" x14ac:dyDescent="0.35">
      <c r="A1555">
        <v>7.3</v>
      </c>
      <c r="B1555">
        <v>0.73499999999999999</v>
      </c>
      <c r="C1555">
        <v>0</v>
      </c>
      <c r="D1555">
        <v>2.2000000000000002</v>
      </c>
      <c r="E1555">
        <v>0.08</v>
      </c>
      <c r="F1555">
        <v>18</v>
      </c>
      <c r="G1555">
        <v>28</v>
      </c>
      <c r="H1555">
        <v>0.99765000000000004</v>
      </c>
      <c r="I1555">
        <v>3.41</v>
      </c>
      <c r="J1555">
        <v>0.6</v>
      </c>
      <c r="K1555">
        <v>9.4</v>
      </c>
      <c r="L1555">
        <v>5</v>
      </c>
      <c r="M1555" t="str">
        <f t="shared" si="26"/>
        <v>Medium</v>
      </c>
    </row>
    <row r="1556" spans="1:13" x14ac:dyDescent="0.35">
      <c r="A1556">
        <v>6.6</v>
      </c>
      <c r="B1556">
        <v>0.85499999999999998</v>
      </c>
      <c r="C1556">
        <v>0.02</v>
      </c>
      <c r="D1556">
        <v>2.4</v>
      </c>
      <c r="E1556">
        <v>6.2E-2</v>
      </c>
      <c r="F1556">
        <v>15</v>
      </c>
      <c r="G1556">
        <v>23</v>
      </c>
      <c r="H1556">
        <v>0.99626999999999999</v>
      </c>
      <c r="I1556">
        <v>3.54</v>
      </c>
      <c r="J1556">
        <v>0.6</v>
      </c>
      <c r="K1556">
        <v>11</v>
      </c>
      <c r="L1556">
        <v>6</v>
      </c>
      <c r="M1556" t="str">
        <f t="shared" si="26"/>
        <v>Medium</v>
      </c>
    </row>
    <row r="1557" spans="1:13" x14ac:dyDescent="0.35">
      <c r="A1557">
        <v>7</v>
      </c>
      <c r="B1557">
        <v>0.56000000000000005</v>
      </c>
      <c r="C1557">
        <v>0.17</v>
      </c>
      <c r="D1557">
        <v>1.7</v>
      </c>
      <c r="E1557">
        <v>6.5000000000000002E-2</v>
      </c>
      <c r="F1557">
        <v>15</v>
      </c>
      <c r="G1557">
        <v>24</v>
      </c>
      <c r="H1557">
        <v>0.99514000000000002</v>
      </c>
      <c r="I1557">
        <v>3.44</v>
      </c>
      <c r="J1557">
        <v>0.68</v>
      </c>
      <c r="K1557">
        <v>10.55</v>
      </c>
      <c r="L1557">
        <v>7</v>
      </c>
      <c r="M1557" t="str">
        <f t="shared" si="26"/>
        <v>High</v>
      </c>
    </row>
    <row r="1558" spans="1:13" x14ac:dyDescent="0.35">
      <c r="A1558">
        <v>6.6</v>
      </c>
      <c r="B1558">
        <v>0.88</v>
      </c>
      <c r="C1558">
        <v>0.04</v>
      </c>
      <c r="D1558">
        <v>2.2000000000000002</v>
      </c>
      <c r="E1558">
        <v>6.6000000000000003E-2</v>
      </c>
      <c r="F1558">
        <v>12</v>
      </c>
      <c r="G1558">
        <v>20</v>
      </c>
      <c r="H1558">
        <v>0.99636000000000002</v>
      </c>
      <c r="I1558">
        <v>3.53</v>
      </c>
      <c r="J1558">
        <v>0.56000000000000005</v>
      </c>
      <c r="K1558">
        <v>9.9</v>
      </c>
      <c r="L1558">
        <v>5</v>
      </c>
      <c r="M1558" t="str">
        <f t="shared" si="26"/>
        <v>Medium</v>
      </c>
    </row>
    <row r="1559" spans="1:13" x14ac:dyDescent="0.35">
      <c r="A1559">
        <v>6.6</v>
      </c>
      <c r="B1559">
        <v>0.85499999999999998</v>
      </c>
      <c r="C1559">
        <v>0.02</v>
      </c>
      <c r="D1559">
        <v>2.4</v>
      </c>
      <c r="E1559">
        <v>6.2E-2</v>
      </c>
      <c r="F1559">
        <v>15</v>
      </c>
      <c r="G1559">
        <v>23</v>
      </c>
      <c r="H1559">
        <v>0.99626999999999999</v>
      </c>
      <c r="I1559">
        <v>3.54</v>
      </c>
      <c r="J1559">
        <v>0.6</v>
      </c>
      <c r="K1559">
        <v>11</v>
      </c>
      <c r="L1559">
        <v>6</v>
      </c>
      <c r="M1559" t="str">
        <f t="shared" si="26"/>
        <v>Medium</v>
      </c>
    </row>
    <row r="1560" spans="1:13" x14ac:dyDescent="0.35">
      <c r="A1560">
        <v>6.9</v>
      </c>
      <c r="B1560">
        <v>0.63</v>
      </c>
      <c r="C1560">
        <v>0.33</v>
      </c>
      <c r="D1560">
        <v>6.7</v>
      </c>
      <c r="E1560">
        <v>0.23499999999999999</v>
      </c>
      <c r="F1560">
        <v>66</v>
      </c>
      <c r="G1560">
        <v>115</v>
      </c>
      <c r="H1560">
        <v>0.99787000000000003</v>
      </c>
      <c r="I1560">
        <v>3.22</v>
      </c>
      <c r="J1560">
        <v>0.56000000000000005</v>
      </c>
      <c r="K1560">
        <v>9.5</v>
      </c>
      <c r="L1560">
        <v>5</v>
      </c>
      <c r="M1560" t="str">
        <f t="shared" si="26"/>
        <v>Medium</v>
      </c>
    </row>
    <row r="1561" spans="1:13" x14ac:dyDescent="0.35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0.99621999999999999</v>
      </c>
      <c r="I1561">
        <v>3.21</v>
      </c>
      <c r="J1561">
        <v>0.52</v>
      </c>
      <c r="K1561">
        <v>9.9</v>
      </c>
      <c r="L1561">
        <v>5</v>
      </c>
      <c r="M1561" t="str">
        <f t="shared" si="26"/>
        <v>Medium</v>
      </c>
    </row>
    <row r="1562" spans="1:13" x14ac:dyDescent="0.35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0.99621999999999999</v>
      </c>
      <c r="I1562">
        <v>3.21</v>
      </c>
      <c r="J1562">
        <v>0.52</v>
      </c>
      <c r="K1562">
        <v>9.9</v>
      </c>
      <c r="L1562">
        <v>5</v>
      </c>
      <c r="M1562" t="str">
        <f t="shared" si="26"/>
        <v>Medium</v>
      </c>
    </row>
    <row r="1563" spans="1:13" x14ac:dyDescent="0.35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0.99621999999999999</v>
      </c>
      <c r="I1563">
        <v>3.21</v>
      </c>
      <c r="J1563">
        <v>0.52</v>
      </c>
      <c r="K1563">
        <v>9.9</v>
      </c>
      <c r="L1563">
        <v>5</v>
      </c>
      <c r="M1563" t="str">
        <f t="shared" si="26"/>
        <v>Medium</v>
      </c>
    </row>
    <row r="1564" spans="1:13" x14ac:dyDescent="0.35">
      <c r="A1564">
        <v>7.2</v>
      </c>
      <c r="B1564">
        <v>0.69499999999999995</v>
      </c>
      <c r="C1564">
        <v>0.13</v>
      </c>
      <c r="D1564">
        <v>2</v>
      </c>
      <c r="E1564">
        <v>7.5999999999999998E-2</v>
      </c>
      <c r="F1564">
        <v>12</v>
      </c>
      <c r="G1564">
        <v>20</v>
      </c>
      <c r="H1564">
        <v>0.99546000000000001</v>
      </c>
      <c r="I1564">
        <v>3.29</v>
      </c>
      <c r="J1564">
        <v>0.54</v>
      </c>
      <c r="K1564">
        <v>10.1</v>
      </c>
      <c r="L1564">
        <v>5</v>
      </c>
      <c r="M1564" t="str">
        <f t="shared" si="26"/>
        <v>Medium</v>
      </c>
    </row>
    <row r="1565" spans="1:13" x14ac:dyDescent="0.35">
      <c r="A1565">
        <v>7.2</v>
      </c>
      <c r="B1565">
        <v>0.69499999999999995</v>
      </c>
      <c r="C1565">
        <v>0.13</v>
      </c>
      <c r="D1565">
        <v>2</v>
      </c>
      <c r="E1565">
        <v>7.5999999999999998E-2</v>
      </c>
      <c r="F1565">
        <v>12</v>
      </c>
      <c r="G1565">
        <v>20</v>
      </c>
      <c r="H1565">
        <v>0.99546000000000001</v>
      </c>
      <c r="I1565">
        <v>3.29</v>
      </c>
      <c r="J1565">
        <v>0.54</v>
      </c>
      <c r="K1565">
        <v>10.1</v>
      </c>
      <c r="L1565">
        <v>5</v>
      </c>
      <c r="M1565" t="str">
        <f t="shared" si="26"/>
        <v>Medium</v>
      </c>
    </row>
    <row r="1566" spans="1:13" x14ac:dyDescent="0.35">
      <c r="A1566">
        <v>7.2</v>
      </c>
      <c r="B1566">
        <v>0.69499999999999995</v>
      </c>
      <c r="C1566">
        <v>0.13</v>
      </c>
      <c r="D1566">
        <v>2</v>
      </c>
      <c r="E1566">
        <v>7.5999999999999998E-2</v>
      </c>
      <c r="F1566">
        <v>12</v>
      </c>
      <c r="G1566">
        <v>20</v>
      </c>
      <c r="H1566">
        <v>0.99546000000000001</v>
      </c>
      <c r="I1566">
        <v>3.29</v>
      </c>
      <c r="J1566">
        <v>0.54</v>
      </c>
      <c r="K1566">
        <v>10.1</v>
      </c>
      <c r="L1566">
        <v>5</v>
      </c>
      <c r="M1566" t="str">
        <f t="shared" si="26"/>
        <v>Medium</v>
      </c>
    </row>
    <row r="1567" spans="1:13" x14ac:dyDescent="0.35">
      <c r="A1567">
        <v>6.7</v>
      </c>
      <c r="B1567">
        <v>0.67</v>
      </c>
      <c r="C1567">
        <v>0.02</v>
      </c>
      <c r="D1567">
        <v>1.9</v>
      </c>
      <c r="E1567">
        <v>6.0999999999999999E-2</v>
      </c>
      <c r="F1567">
        <v>26</v>
      </c>
      <c r="G1567">
        <v>42</v>
      </c>
      <c r="H1567">
        <v>0.99489000000000005</v>
      </c>
      <c r="I1567">
        <v>3.39</v>
      </c>
      <c r="J1567">
        <v>0.82</v>
      </c>
      <c r="K1567">
        <v>10.9</v>
      </c>
      <c r="L1567">
        <v>6</v>
      </c>
      <c r="M1567" t="str">
        <f t="shared" si="26"/>
        <v>Medium</v>
      </c>
    </row>
    <row r="1568" spans="1:13" x14ac:dyDescent="0.35">
      <c r="A1568">
        <v>6.7</v>
      </c>
      <c r="B1568">
        <v>0.16</v>
      </c>
      <c r="C1568">
        <v>0.64</v>
      </c>
      <c r="D1568">
        <v>2.1</v>
      </c>
      <c r="E1568">
        <v>5.8999999999999997E-2</v>
      </c>
      <c r="F1568">
        <v>24</v>
      </c>
      <c r="G1568">
        <v>52</v>
      </c>
      <c r="H1568">
        <v>0.99494000000000005</v>
      </c>
      <c r="I1568">
        <v>3.34</v>
      </c>
      <c r="J1568">
        <v>0.71</v>
      </c>
      <c r="K1568">
        <v>11.2</v>
      </c>
      <c r="L1568">
        <v>6</v>
      </c>
      <c r="M1568" t="str">
        <f t="shared" si="26"/>
        <v>Medium</v>
      </c>
    </row>
    <row r="1569" spans="1:13" x14ac:dyDescent="0.35">
      <c r="A1569">
        <v>7.2</v>
      </c>
      <c r="B1569">
        <v>0.69499999999999995</v>
      </c>
      <c r="C1569">
        <v>0.13</v>
      </c>
      <c r="D1569">
        <v>2</v>
      </c>
      <c r="E1569">
        <v>7.5999999999999998E-2</v>
      </c>
      <c r="F1569">
        <v>12</v>
      </c>
      <c r="G1569">
        <v>20</v>
      </c>
      <c r="H1569">
        <v>0.99546000000000001</v>
      </c>
      <c r="I1569">
        <v>3.29</v>
      </c>
      <c r="J1569">
        <v>0.54</v>
      </c>
      <c r="K1569">
        <v>10.1</v>
      </c>
      <c r="L1569">
        <v>5</v>
      </c>
      <c r="M1569" t="str">
        <f t="shared" si="26"/>
        <v>Medium</v>
      </c>
    </row>
    <row r="1570" spans="1:13" x14ac:dyDescent="0.35">
      <c r="A1570">
        <v>7</v>
      </c>
      <c r="B1570">
        <v>0.56000000000000005</v>
      </c>
      <c r="C1570">
        <v>0.13</v>
      </c>
      <c r="D1570">
        <v>1.6</v>
      </c>
      <c r="E1570">
        <v>7.6999999999999999E-2</v>
      </c>
      <c r="F1570">
        <v>25</v>
      </c>
      <c r="G1570">
        <v>42</v>
      </c>
      <c r="H1570">
        <v>0.99629000000000001</v>
      </c>
      <c r="I1570">
        <v>3.34</v>
      </c>
      <c r="J1570">
        <v>0.59</v>
      </c>
      <c r="K1570">
        <v>9.1999999999999993</v>
      </c>
      <c r="L1570">
        <v>5</v>
      </c>
      <c r="M1570" t="str">
        <f t="shared" si="26"/>
        <v>Medium</v>
      </c>
    </row>
    <row r="1571" spans="1:13" x14ac:dyDescent="0.35">
      <c r="A1571">
        <v>6.2</v>
      </c>
      <c r="B1571">
        <v>0.51</v>
      </c>
      <c r="C1571">
        <v>0.14000000000000001</v>
      </c>
      <c r="D1571">
        <v>1.9</v>
      </c>
      <c r="E1571">
        <v>5.6000000000000001E-2</v>
      </c>
      <c r="F1571">
        <v>15</v>
      </c>
      <c r="G1571">
        <v>34</v>
      </c>
      <c r="H1571">
        <v>0.99395999999999995</v>
      </c>
      <c r="I1571">
        <v>3.48</v>
      </c>
      <c r="J1571">
        <v>0.56999999999999995</v>
      </c>
      <c r="K1571">
        <v>11.5</v>
      </c>
      <c r="L1571">
        <v>6</v>
      </c>
      <c r="M1571" t="str">
        <f t="shared" si="26"/>
        <v>Medium</v>
      </c>
    </row>
    <row r="1572" spans="1:13" x14ac:dyDescent="0.35">
      <c r="A1572">
        <v>6.4</v>
      </c>
      <c r="B1572">
        <v>0.36</v>
      </c>
      <c r="C1572">
        <v>0.53</v>
      </c>
      <c r="D1572">
        <v>2.2000000000000002</v>
      </c>
      <c r="E1572">
        <v>0.23</v>
      </c>
      <c r="F1572">
        <v>19</v>
      </c>
      <c r="G1572">
        <v>35</v>
      </c>
      <c r="H1572">
        <v>0.99339999999999995</v>
      </c>
      <c r="I1572">
        <v>3.37</v>
      </c>
      <c r="J1572">
        <v>0.93</v>
      </c>
      <c r="K1572">
        <v>12.4</v>
      </c>
      <c r="L1572">
        <v>6</v>
      </c>
      <c r="M1572" t="str">
        <f t="shared" si="26"/>
        <v>Medium</v>
      </c>
    </row>
    <row r="1573" spans="1:13" x14ac:dyDescent="0.35">
      <c r="A1573">
        <v>6.4</v>
      </c>
      <c r="B1573">
        <v>0.38</v>
      </c>
      <c r="C1573">
        <v>0.14000000000000001</v>
      </c>
      <c r="D1573">
        <v>2.2000000000000002</v>
      </c>
      <c r="E1573">
        <v>3.7999999999999999E-2</v>
      </c>
      <c r="F1573">
        <v>15</v>
      </c>
      <c r="G1573">
        <v>25</v>
      </c>
      <c r="H1573">
        <v>0.99514000000000002</v>
      </c>
      <c r="I1573">
        <v>3.44</v>
      </c>
      <c r="J1573">
        <v>0.65</v>
      </c>
      <c r="K1573">
        <v>11.1</v>
      </c>
      <c r="L1573">
        <v>6</v>
      </c>
      <c r="M1573" t="str">
        <f t="shared" si="26"/>
        <v>Medium</v>
      </c>
    </row>
    <row r="1574" spans="1:13" x14ac:dyDescent="0.35">
      <c r="A1574">
        <v>7.3</v>
      </c>
      <c r="B1574">
        <v>0.69</v>
      </c>
      <c r="C1574">
        <v>0.32</v>
      </c>
      <c r="D1574">
        <v>2.2000000000000002</v>
      </c>
      <c r="E1574">
        <v>6.9000000000000006E-2</v>
      </c>
      <c r="F1574">
        <v>35</v>
      </c>
      <c r="G1574">
        <v>104</v>
      </c>
      <c r="H1574">
        <v>0.99631999999999998</v>
      </c>
      <c r="I1574">
        <v>3.33</v>
      </c>
      <c r="J1574">
        <v>0.51</v>
      </c>
      <c r="K1574">
        <v>9.5</v>
      </c>
      <c r="L1574">
        <v>5</v>
      </c>
      <c r="M1574" t="str">
        <f t="shared" si="26"/>
        <v>Medium</v>
      </c>
    </row>
    <row r="1575" spans="1:13" x14ac:dyDescent="0.35">
      <c r="A1575">
        <v>6</v>
      </c>
      <c r="B1575">
        <v>0.57999999999999996</v>
      </c>
      <c r="C1575">
        <v>0.2</v>
      </c>
      <c r="D1575">
        <v>2.4</v>
      </c>
      <c r="E1575">
        <v>7.4999999999999997E-2</v>
      </c>
      <c r="F1575">
        <v>15</v>
      </c>
      <c r="G1575">
        <v>50</v>
      </c>
      <c r="H1575">
        <v>0.99467000000000005</v>
      </c>
      <c r="I1575">
        <v>3.58</v>
      </c>
      <c r="J1575">
        <v>0.67</v>
      </c>
      <c r="K1575">
        <v>12.5</v>
      </c>
      <c r="L1575">
        <v>6</v>
      </c>
      <c r="M1575" t="str">
        <f t="shared" si="26"/>
        <v>Medium</v>
      </c>
    </row>
    <row r="1576" spans="1:13" x14ac:dyDescent="0.35">
      <c r="A1576">
        <v>5.6</v>
      </c>
      <c r="B1576">
        <v>0.31</v>
      </c>
      <c r="C1576">
        <v>0.78</v>
      </c>
      <c r="D1576">
        <v>13.9</v>
      </c>
      <c r="E1576">
        <v>7.3999999999999996E-2</v>
      </c>
      <c r="F1576">
        <v>23</v>
      </c>
      <c r="G1576">
        <v>92</v>
      </c>
      <c r="H1576">
        <v>0.99677000000000004</v>
      </c>
      <c r="I1576">
        <v>3.39</v>
      </c>
      <c r="J1576">
        <v>0.48</v>
      </c>
      <c r="K1576">
        <v>10.5</v>
      </c>
      <c r="L1576">
        <v>6</v>
      </c>
      <c r="M1576" t="str">
        <f t="shared" si="26"/>
        <v>Medium</v>
      </c>
    </row>
    <row r="1577" spans="1:13" x14ac:dyDescent="0.35">
      <c r="A1577">
        <v>7.5</v>
      </c>
      <c r="B1577">
        <v>0.52</v>
      </c>
      <c r="C1577">
        <v>0.4</v>
      </c>
      <c r="D1577">
        <v>2.2000000000000002</v>
      </c>
      <c r="E1577">
        <v>0.06</v>
      </c>
      <c r="F1577">
        <v>12</v>
      </c>
      <c r="G1577">
        <v>20</v>
      </c>
      <c r="H1577">
        <v>0.99473999999999996</v>
      </c>
      <c r="I1577">
        <v>3.26</v>
      </c>
      <c r="J1577">
        <v>0.64</v>
      </c>
      <c r="K1577">
        <v>11.8</v>
      </c>
      <c r="L1577">
        <v>6</v>
      </c>
      <c r="M1577" t="str">
        <f t="shared" si="26"/>
        <v>Medium</v>
      </c>
    </row>
    <row r="1578" spans="1:13" x14ac:dyDescent="0.35">
      <c r="A1578">
        <v>8</v>
      </c>
      <c r="B1578">
        <v>0.3</v>
      </c>
      <c r="C1578">
        <v>0.63</v>
      </c>
      <c r="D1578">
        <v>1.6</v>
      </c>
      <c r="E1578">
        <v>8.1000000000000003E-2</v>
      </c>
      <c r="F1578">
        <v>16</v>
      </c>
      <c r="G1578">
        <v>29</v>
      </c>
      <c r="H1578">
        <v>0.99587999999999999</v>
      </c>
      <c r="I1578">
        <v>3.3</v>
      </c>
      <c r="J1578">
        <v>0.78</v>
      </c>
      <c r="K1578">
        <v>10.8</v>
      </c>
      <c r="L1578">
        <v>6</v>
      </c>
      <c r="M1578" t="str">
        <f t="shared" si="26"/>
        <v>Medium</v>
      </c>
    </row>
    <row r="1579" spans="1:13" x14ac:dyDescent="0.35">
      <c r="A1579">
        <v>6.2</v>
      </c>
      <c r="B1579">
        <v>0.7</v>
      </c>
      <c r="C1579">
        <v>0.15</v>
      </c>
      <c r="D1579">
        <v>5.0999999999999996</v>
      </c>
      <c r="E1579">
        <v>7.5999999999999998E-2</v>
      </c>
      <c r="F1579">
        <v>13</v>
      </c>
      <c r="G1579">
        <v>27</v>
      </c>
      <c r="H1579">
        <v>0.99621999999999999</v>
      </c>
      <c r="I1579">
        <v>3.54</v>
      </c>
      <c r="J1579">
        <v>0.6</v>
      </c>
      <c r="K1579">
        <v>11.9</v>
      </c>
      <c r="L1579">
        <v>6</v>
      </c>
      <c r="M1579" t="str">
        <f t="shared" si="26"/>
        <v>Medium</v>
      </c>
    </row>
    <row r="1580" spans="1:13" x14ac:dyDescent="0.35">
      <c r="A1580">
        <v>6.8</v>
      </c>
      <c r="B1580">
        <v>0.67</v>
      </c>
      <c r="C1580">
        <v>0.15</v>
      </c>
      <c r="D1580">
        <v>1.8</v>
      </c>
      <c r="E1580">
        <v>0.11799999999999999</v>
      </c>
      <c r="F1580">
        <v>13</v>
      </c>
      <c r="G1580">
        <v>20</v>
      </c>
      <c r="H1580">
        <v>0.99539999999999995</v>
      </c>
      <c r="I1580">
        <v>3.42</v>
      </c>
      <c r="J1580">
        <v>0.67</v>
      </c>
      <c r="K1580">
        <v>11.3</v>
      </c>
      <c r="L1580">
        <v>6</v>
      </c>
      <c r="M1580" t="str">
        <f t="shared" si="26"/>
        <v>Medium</v>
      </c>
    </row>
    <row r="1581" spans="1:13" x14ac:dyDescent="0.35">
      <c r="A1581">
        <v>6.2</v>
      </c>
      <c r="B1581">
        <v>0.56000000000000005</v>
      </c>
      <c r="C1581">
        <v>0.09</v>
      </c>
      <c r="D1581">
        <v>1.7</v>
      </c>
      <c r="E1581">
        <v>5.2999999999999999E-2</v>
      </c>
      <c r="F1581">
        <v>24</v>
      </c>
      <c r="G1581">
        <v>32</v>
      </c>
      <c r="H1581">
        <v>0.99402000000000001</v>
      </c>
      <c r="I1581">
        <v>3.54</v>
      </c>
      <c r="J1581">
        <v>0.6</v>
      </c>
      <c r="K1581">
        <v>11.3</v>
      </c>
      <c r="L1581">
        <v>5</v>
      </c>
      <c r="M1581" t="str">
        <f t="shared" si="26"/>
        <v>Medium</v>
      </c>
    </row>
    <row r="1582" spans="1:13" x14ac:dyDescent="0.35">
      <c r="A1582">
        <v>7.4</v>
      </c>
      <c r="B1582">
        <v>0.35</v>
      </c>
      <c r="C1582">
        <v>0.33</v>
      </c>
      <c r="D1582">
        <v>2.4</v>
      </c>
      <c r="E1582">
        <v>6.8000000000000005E-2</v>
      </c>
      <c r="F1582">
        <v>9</v>
      </c>
      <c r="G1582">
        <v>26</v>
      </c>
      <c r="H1582">
        <v>0.99470000000000003</v>
      </c>
      <c r="I1582">
        <v>3.36</v>
      </c>
      <c r="J1582">
        <v>0.6</v>
      </c>
      <c r="K1582">
        <v>11.9</v>
      </c>
      <c r="L1582">
        <v>6</v>
      </c>
      <c r="M1582" t="str">
        <f t="shared" si="26"/>
        <v>Medium</v>
      </c>
    </row>
    <row r="1583" spans="1:13" x14ac:dyDescent="0.35">
      <c r="A1583">
        <v>6.2</v>
      </c>
      <c r="B1583">
        <v>0.56000000000000005</v>
      </c>
      <c r="C1583">
        <v>0.09</v>
      </c>
      <c r="D1583">
        <v>1.7</v>
      </c>
      <c r="E1583">
        <v>5.2999999999999999E-2</v>
      </c>
      <c r="F1583">
        <v>24</v>
      </c>
      <c r="G1583">
        <v>32</v>
      </c>
      <c r="H1583">
        <v>0.99402000000000001</v>
      </c>
      <c r="I1583">
        <v>3.54</v>
      </c>
      <c r="J1583">
        <v>0.6</v>
      </c>
      <c r="K1583">
        <v>11.3</v>
      </c>
      <c r="L1583">
        <v>5</v>
      </c>
      <c r="M1583" t="str">
        <f t="shared" si="26"/>
        <v>Medium</v>
      </c>
    </row>
    <row r="1584" spans="1:13" x14ac:dyDescent="0.35">
      <c r="A1584">
        <v>6.1</v>
      </c>
      <c r="B1584">
        <v>0.71499999999999997</v>
      </c>
      <c r="C1584">
        <v>0.1</v>
      </c>
      <c r="D1584">
        <v>2.6</v>
      </c>
      <c r="E1584">
        <v>5.2999999999999999E-2</v>
      </c>
      <c r="F1584">
        <v>13</v>
      </c>
      <c r="G1584">
        <v>27</v>
      </c>
      <c r="H1584">
        <v>0.99361999999999995</v>
      </c>
      <c r="I1584">
        <v>3.57</v>
      </c>
      <c r="J1584">
        <v>0.5</v>
      </c>
      <c r="K1584">
        <v>11.9</v>
      </c>
      <c r="L1584">
        <v>5</v>
      </c>
      <c r="M1584" t="str">
        <f t="shared" si="26"/>
        <v>Medium</v>
      </c>
    </row>
    <row r="1585" spans="1:13" x14ac:dyDescent="0.35">
      <c r="A1585">
        <v>6.2</v>
      </c>
      <c r="B1585">
        <v>0.46</v>
      </c>
      <c r="C1585">
        <v>0.28999999999999998</v>
      </c>
      <c r="D1585">
        <v>2.1</v>
      </c>
      <c r="E1585">
        <v>7.3999999999999996E-2</v>
      </c>
      <c r="F1585">
        <v>32</v>
      </c>
      <c r="G1585">
        <v>98</v>
      </c>
      <c r="H1585">
        <v>0.99578</v>
      </c>
      <c r="I1585">
        <v>3.33</v>
      </c>
      <c r="J1585">
        <v>0.62</v>
      </c>
      <c r="K1585">
        <v>9.8000000000000007</v>
      </c>
      <c r="L1585">
        <v>5</v>
      </c>
      <c r="M1585" t="str">
        <f t="shared" si="26"/>
        <v>Medium</v>
      </c>
    </row>
    <row r="1586" spans="1:13" x14ac:dyDescent="0.35">
      <c r="A1586">
        <v>6.7</v>
      </c>
      <c r="B1586">
        <v>0.32</v>
      </c>
      <c r="C1586">
        <v>0.44</v>
      </c>
      <c r="D1586">
        <v>2.4</v>
      </c>
      <c r="E1586">
        <v>6.0999999999999999E-2</v>
      </c>
      <c r="F1586">
        <v>24</v>
      </c>
      <c r="G1586">
        <v>34</v>
      </c>
      <c r="H1586">
        <v>0.99483999999999995</v>
      </c>
      <c r="I1586">
        <v>3.29</v>
      </c>
      <c r="J1586">
        <v>0.8</v>
      </c>
      <c r="K1586">
        <v>11.6</v>
      </c>
      <c r="L1586">
        <v>7</v>
      </c>
      <c r="M1586" t="str">
        <f t="shared" si="26"/>
        <v>High</v>
      </c>
    </row>
    <row r="1587" spans="1:13" x14ac:dyDescent="0.35">
      <c r="A1587">
        <v>7.2</v>
      </c>
      <c r="B1587">
        <v>0.39</v>
      </c>
      <c r="C1587">
        <v>0.44</v>
      </c>
      <c r="D1587">
        <v>2.6</v>
      </c>
      <c r="E1587">
        <v>6.6000000000000003E-2</v>
      </c>
      <c r="F1587">
        <v>22</v>
      </c>
      <c r="G1587">
        <v>48</v>
      </c>
      <c r="H1587">
        <v>0.99494000000000005</v>
      </c>
      <c r="I1587">
        <v>3.3</v>
      </c>
      <c r="J1587">
        <v>0.84</v>
      </c>
      <c r="K1587">
        <v>11.5</v>
      </c>
      <c r="L1587">
        <v>6</v>
      </c>
      <c r="M1587" t="str">
        <f t="shared" si="26"/>
        <v>Medium</v>
      </c>
    </row>
    <row r="1588" spans="1:13" x14ac:dyDescent="0.35">
      <c r="A1588">
        <v>7.5</v>
      </c>
      <c r="B1588">
        <v>0.31</v>
      </c>
      <c r="C1588">
        <v>0.41</v>
      </c>
      <c r="D1588">
        <v>2.4</v>
      </c>
      <c r="E1588">
        <v>6.5000000000000002E-2</v>
      </c>
      <c r="F1588">
        <v>34</v>
      </c>
      <c r="G1588">
        <v>60</v>
      </c>
      <c r="H1588">
        <v>0.99492000000000003</v>
      </c>
      <c r="I1588">
        <v>3.34</v>
      </c>
      <c r="J1588">
        <v>0.85</v>
      </c>
      <c r="K1588">
        <v>11.4</v>
      </c>
      <c r="L1588">
        <v>6</v>
      </c>
      <c r="M1588" t="str">
        <f t="shared" si="26"/>
        <v>Medium</v>
      </c>
    </row>
    <row r="1589" spans="1:13" x14ac:dyDescent="0.35">
      <c r="A1589">
        <v>5.8</v>
      </c>
      <c r="B1589">
        <v>0.61</v>
      </c>
      <c r="C1589">
        <v>0.11</v>
      </c>
      <c r="D1589">
        <v>1.8</v>
      </c>
      <c r="E1589">
        <v>6.6000000000000003E-2</v>
      </c>
      <c r="F1589">
        <v>18</v>
      </c>
      <c r="G1589">
        <v>28</v>
      </c>
      <c r="H1589">
        <v>0.99482999999999999</v>
      </c>
      <c r="I1589">
        <v>3.55</v>
      </c>
      <c r="J1589">
        <v>0.66</v>
      </c>
      <c r="K1589">
        <v>10.9</v>
      </c>
      <c r="L1589">
        <v>6</v>
      </c>
      <c r="M1589" t="str">
        <f t="shared" si="26"/>
        <v>Medium</v>
      </c>
    </row>
    <row r="1590" spans="1:13" x14ac:dyDescent="0.35">
      <c r="A1590">
        <v>7.2</v>
      </c>
      <c r="B1590">
        <v>0.66</v>
      </c>
      <c r="C1590">
        <v>0.33</v>
      </c>
      <c r="D1590">
        <v>2.5</v>
      </c>
      <c r="E1590">
        <v>6.8000000000000005E-2</v>
      </c>
      <c r="F1590">
        <v>34</v>
      </c>
      <c r="G1590">
        <v>102</v>
      </c>
      <c r="H1590">
        <v>0.99414000000000002</v>
      </c>
      <c r="I1590">
        <v>3.27</v>
      </c>
      <c r="J1590">
        <v>0.78</v>
      </c>
      <c r="K1590">
        <v>12.8</v>
      </c>
      <c r="L1590">
        <v>6</v>
      </c>
      <c r="M1590" t="str">
        <f t="shared" si="26"/>
        <v>Medium</v>
      </c>
    </row>
    <row r="1591" spans="1:13" x14ac:dyDescent="0.35">
      <c r="A1591">
        <v>6.6</v>
      </c>
      <c r="B1591">
        <v>0.72499999999999998</v>
      </c>
      <c r="C1591">
        <v>0.2</v>
      </c>
      <c r="D1591">
        <v>7.8</v>
      </c>
      <c r="E1591">
        <v>7.2999999999999995E-2</v>
      </c>
      <c r="F1591">
        <v>29</v>
      </c>
      <c r="G1591">
        <v>79</v>
      </c>
      <c r="H1591">
        <v>0.99770000000000003</v>
      </c>
      <c r="I1591">
        <v>3.29</v>
      </c>
      <c r="J1591">
        <v>0.54</v>
      </c>
      <c r="K1591">
        <v>9.1999999999999993</v>
      </c>
      <c r="L1591">
        <v>5</v>
      </c>
      <c r="M1591" t="str">
        <f t="shared" si="26"/>
        <v>Medium</v>
      </c>
    </row>
    <row r="1592" spans="1:13" x14ac:dyDescent="0.35">
      <c r="A1592">
        <v>6.3</v>
      </c>
      <c r="B1592">
        <v>0.55000000000000004</v>
      </c>
      <c r="C1592">
        <v>0.15</v>
      </c>
      <c r="D1592">
        <v>1.8</v>
      </c>
      <c r="E1592">
        <v>7.6999999999999999E-2</v>
      </c>
      <c r="F1592">
        <v>26</v>
      </c>
      <c r="G1592">
        <v>35</v>
      </c>
      <c r="H1592">
        <v>0.99314000000000002</v>
      </c>
      <c r="I1592">
        <v>3.32</v>
      </c>
      <c r="J1592">
        <v>0.82</v>
      </c>
      <c r="K1592">
        <v>11.6</v>
      </c>
      <c r="L1592">
        <v>6</v>
      </c>
      <c r="M1592" t="str">
        <f t="shared" si="26"/>
        <v>Medium</v>
      </c>
    </row>
    <row r="1593" spans="1:13" x14ac:dyDescent="0.35">
      <c r="A1593">
        <v>5.4</v>
      </c>
      <c r="B1593">
        <v>0.74</v>
      </c>
      <c r="C1593">
        <v>0.09</v>
      </c>
      <c r="D1593">
        <v>1.7</v>
      </c>
      <c r="E1593">
        <v>8.8999999999999996E-2</v>
      </c>
      <c r="F1593">
        <v>16</v>
      </c>
      <c r="G1593">
        <v>26</v>
      </c>
      <c r="H1593">
        <v>0.99402000000000001</v>
      </c>
      <c r="I1593">
        <v>3.67</v>
      </c>
      <c r="J1593">
        <v>0.56000000000000005</v>
      </c>
      <c r="K1593">
        <v>11.6</v>
      </c>
      <c r="L1593">
        <v>6</v>
      </c>
      <c r="M1593" t="str">
        <f t="shared" si="26"/>
        <v>Medium</v>
      </c>
    </row>
    <row r="1594" spans="1:13" x14ac:dyDescent="0.35">
      <c r="A1594">
        <v>6.3</v>
      </c>
      <c r="B1594">
        <v>0.51</v>
      </c>
      <c r="C1594">
        <v>0.13</v>
      </c>
      <c r="D1594">
        <v>2.2999999999999998</v>
      </c>
      <c r="E1594">
        <v>7.5999999999999998E-2</v>
      </c>
      <c r="F1594">
        <v>29</v>
      </c>
      <c r="G1594">
        <v>40</v>
      </c>
      <c r="H1594">
        <v>0.99573999999999996</v>
      </c>
      <c r="I1594">
        <v>3.42</v>
      </c>
      <c r="J1594">
        <v>0.75</v>
      </c>
      <c r="K1594">
        <v>11</v>
      </c>
      <c r="L1594">
        <v>6</v>
      </c>
      <c r="M1594" t="str">
        <f t="shared" si="26"/>
        <v>Medium</v>
      </c>
    </row>
    <row r="1595" spans="1:13" x14ac:dyDescent="0.35">
      <c r="A1595">
        <v>6.8</v>
      </c>
      <c r="B1595">
        <v>0.62</v>
      </c>
      <c r="C1595">
        <v>0.08</v>
      </c>
      <c r="D1595">
        <v>1.9</v>
      </c>
      <c r="E1595">
        <v>6.8000000000000005E-2</v>
      </c>
      <c r="F1595">
        <v>28</v>
      </c>
      <c r="G1595">
        <v>38</v>
      </c>
      <c r="H1595">
        <v>0.99651000000000001</v>
      </c>
      <c r="I1595">
        <v>3.42</v>
      </c>
      <c r="J1595">
        <v>0.82</v>
      </c>
      <c r="K1595">
        <v>9.5</v>
      </c>
      <c r="L1595">
        <v>6</v>
      </c>
      <c r="M1595" t="str">
        <f t="shared" si="26"/>
        <v>Medium</v>
      </c>
    </row>
    <row r="1596" spans="1:13" x14ac:dyDescent="0.35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0.99490000000000001</v>
      </c>
      <c r="I1596">
        <v>3.45</v>
      </c>
      <c r="J1596">
        <v>0.57999999999999996</v>
      </c>
      <c r="K1596">
        <v>10.5</v>
      </c>
      <c r="L1596">
        <v>5</v>
      </c>
      <c r="M1596" t="str">
        <f t="shared" si="26"/>
        <v>Medium</v>
      </c>
    </row>
    <row r="1597" spans="1:13" x14ac:dyDescent="0.35">
      <c r="A1597">
        <v>5.9</v>
      </c>
      <c r="B1597">
        <v>0.55000000000000004</v>
      </c>
      <c r="C1597">
        <v>0.1</v>
      </c>
      <c r="D1597">
        <v>2.2000000000000002</v>
      </c>
      <c r="E1597">
        <v>6.2E-2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6</v>
      </c>
      <c r="M1597" t="str">
        <f t="shared" si="26"/>
        <v>Medium</v>
      </c>
    </row>
    <row r="1598" spans="1:13" x14ac:dyDescent="0.35">
      <c r="A1598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>
        <v>6</v>
      </c>
      <c r="M1598" t="str">
        <f t="shared" si="26"/>
        <v>Medium</v>
      </c>
    </row>
    <row r="1599" spans="1:13" x14ac:dyDescent="0.35">
      <c r="A1599">
        <v>5.9</v>
      </c>
      <c r="B1599">
        <v>0.64500000000000002</v>
      </c>
      <c r="C1599">
        <v>0.12</v>
      </c>
      <c r="D1599">
        <v>2</v>
      </c>
      <c r="E1599">
        <v>7.4999999999999997E-2</v>
      </c>
      <c r="F1599">
        <v>32</v>
      </c>
      <c r="G1599">
        <v>44</v>
      </c>
      <c r="H1599">
        <v>0.99546999999999997</v>
      </c>
      <c r="I1599">
        <v>3.57</v>
      </c>
      <c r="J1599">
        <v>0.71</v>
      </c>
      <c r="K1599">
        <v>10.199999999999999</v>
      </c>
      <c r="L1599">
        <v>5</v>
      </c>
      <c r="M1599" t="str">
        <f t="shared" si="26"/>
        <v>Medium</v>
      </c>
    </row>
    <row r="1600" spans="1:13" x14ac:dyDescent="0.35">
      <c r="A1600">
        <v>6</v>
      </c>
      <c r="B1600">
        <v>0.31</v>
      </c>
      <c r="C1600">
        <v>0.47</v>
      </c>
      <c r="D1600">
        <v>3.6</v>
      </c>
      <c r="E1600">
        <v>6.7000000000000004E-2</v>
      </c>
      <c r="F1600">
        <v>18</v>
      </c>
      <c r="G1600">
        <v>42</v>
      </c>
      <c r="H1600">
        <v>0.99548999999999999</v>
      </c>
      <c r="I1600">
        <v>3.39</v>
      </c>
      <c r="J1600">
        <v>0.66</v>
      </c>
      <c r="K1600">
        <v>11</v>
      </c>
      <c r="L1600">
        <v>6</v>
      </c>
      <c r="M1600" t="str">
        <f t="shared" si="26"/>
        <v>Medium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Findings</vt:lpstr>
      <vt:lpstr>winequality-red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kayode confidence</dc:creator>
  <cp:lastModifiedBy>DELL</cp:lastModifiedBy>
  <cp:lastPrinted>2026-10-24T02:55:44Z</cp:lastPrinted>
  <dcterms:created xsi:type="dcterms:W3CDTF">2026-10-24T01:32:37Z</dcterms:created>
  <dcterms:modified xsi:type="dcterms:W3CDTF">2026-10-24T02:56:23Z</dcterms:modified>
</cp:coreProperties>
</file>